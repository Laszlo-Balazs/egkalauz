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Felhasználói adatok" sheetId="1" r:id="rId1" state="visible"/>
  </sheets>
  <definedNames>
    <definedName name="_xlnm._FilterDatabase" localSheetId="0" hidden="1">'Felhasználói adatok'!$A$4:$J$54</definedName>
  </definedNames>
</workbook>
</file>

<file path=xl/sharedStrings.xml><?xml version="1.0" encoding="utf-8"?>
<sst xmlns="http://schemas.openxmlformats.org/spreadsheetml/2006/main" count="188" uniqueCount="86">
  <si>
    <t>Égkalauz – felhasználói adatok és bevételek</t>
  </si>
  <si>
    <t>Napi aktivitás (1 = aktív, 0 = nem aktív)</t>
  </si>
  <si>
    <t>felhasznaló aktivitás</t>
  </si>
  <si>
    <t>Előfizetési csomagok</t>
  </si>
  <si>
    <t>Felhasználó ID</t>
  </si>
  <si>
    <t>Felhasználónév</t>
  </si>
  <si>
    <t>Regisztráció dátuma</t>
  </si>
  <si>
    <t>Használati napok</t>
  </si>
  <si>
    <t>Egyszeri app-vásárlás?</t>
  </si>
  <si>
    <t>Appon belüli vásárlás (Ft)</t>
  </si>
  <si>
    <t>Előfizetési csomag</t>
  </si>
  <si>
    <t>Előfizetés ára (Ft/hó)</t>
  </si>
  <si>
    <t>Teljes bevétel (Ft)</t>
  </si>
  <si>
    <t>Aktív napok aránya</t>
  </si>
  <si>
    <t>Csomag</t>
  </si>
  <si>
    <t>Havi ár (Ft)</t>
  </si>
  <si>
    <t>Anna</t>
  </si>
  <si>
    <t>Igen</t>
  </si>
  <si>
    <t>Alap</t>
  </si>
  <si>
    <t>Bence</t>
  </si>
  <si>
    <t>Nem</t>
  </si>
  <si>
    <t>Plusz</t>
  </si>
  <si>
    <t>Csilla</t>
  </si>
  <si>
    <t>Pro</t>
  </si>
  <si>
    <t>Dávid</t>
  </si>
  <si>
    <t>Eszter</t>
  </si>
  <si>
    <t>Fanni</t>
  </si>
  <si>
    <t>Gergő</t>
  </si>
  <si>
    <t>Hanna</t>
  </si>
  <si>
    <t>István</t>
  </si>
  <si>
    <t>Jázmin</t>
  </si>
  <si>
    <t>Kata</t>
  </si>
  <si>
    <t>Levente</t>
  </si>
  <si>
    <t>Máté</t>
  </si>
  <si>
    <t>Nóra</t>
  </si>
  <si>
    <t>Olivér</t>
  </si>
  <si>
    <t>Petra</t>
  </si>
  <si>
    <t>Réka</t>
  </si>
  <si>
    <t>Soma</t>
  </si>
  <si>
    <t>Tamás</t>
  </si>
  <si>
    <t>Vera</t>
  </si>
  <si>
    <t>Zalán</t>
  </si>
  <si>
    <t>Zsófi</t>
  </si>
  <si>
    <t>Ákos</t>
  </si>
  <si>
    <t>Bianka</t>
  </si>
  <si>
    <t>Csanád</t>
  </si>
  <si>
    <t>Dóra</t>
  </si>
  <si>
    <t>Emese</t>
  </si>
  <si>
    <t>Flóra</t>
  </si>
  <si>
    <t>Gábor</t>
  </si>
  <si>
    <t>Hédi</t>
  </si>
  <si>
    <t>Imre</t>
  </si>
  <si>
    <t>Janka</t>
  </si>
  <si>
    <t>Kornél</t>
  </si>
  <si>
    <t>Lili</t>
  </si>
  <si>
    <t>Marcell</t>
  </si>
  <si>
    <t>Noémi</t>
  </si>
  <si>
    <t>Orsolya</t>
  </si>
  <si>
    <t>Péter</t>
  </si>
  <si>
    <t>Rita</t>
  </si>
  <si>
    <t>Sándor</t>
  </si>
  <si>
    <t>Tímea</t>
  </si>
  <si>
    <t>Vince</t>
  </si>
  <si>
    <t>Zita</t>
  </si>
  <si>
    <t>Áron</t>
  </si>
  <si>
    <t>Boglárka</t>
  </si>
  <si>
    <t>Cecília</t>
  </si>
  <si>
    <t>Dominik</t>
  </si>
  <si>
    <t>Erik</t>
  </si>
  <si>
    <t>Laura</t>
  </si>
  <si>
    <t>Mihály</t>
  </si>
  <si>
    <t>Összesítés (beépített függvények)</t>
  </si>
  <si>
    <t>Per Csomag tipus statisztika</t>
  </si>
  <si>
    <t>Dátum</t>
  </si>
  <si>
    <t>Napi aktív felhasználók</t>
  </si>
  <si>
    <t>Bevétel megoszlása</t>
  </si>
  <si>
    <t>Összes bevétel</t>
  </si>
  <si>
    <t>Bevételi forrás</t>
  </si>
  <si>
    <t>Összeg (Ft)</t>
  </si>
  <si>
    <t>Átlagos használati napok</t>
  </si>
  <si>
    <t>Előfizetések</t>
  </si>
  <si>
    <t>Plusz/Pro előfizetők száma</t>
  </si>
  <si>
    <t>Egyszeri app-vásárlás</t>
  </si>
  <si>
    <t>Appot vásárlók száma</t>
  </si>
  <si>
    <t>Appon belüli vásárlás</t>
  </si>
  <si>
    <t>Appon belüli vásárlások összege</t>
  </si>
</sst>
</file>

<file path=xl/styles.xml><?xml version="1.0" encoding="utf-8"?>
<styleSheet xmlns="http://schemas.openxmlformats.org/spreadsheetml/2006/main">
  <numFmts count="6">
    <numFmt numFmtId="164" formatCode="mm.dd"/>
    <numFmt numFmtId="165" formatCode="yyyy.mm.dd"/>
    <numFmt numFmtId="166" formatCode="#,##0 &quot;Ft&quot;"/>
    <numFmt numFmtId="167" formatCode="#,##0&quot;Ft&quot;"/>
    <numFmt numFmtId="168" formatCode="0.0"/>
    <numFmt numFmtId="169" formatCode="#,##0&quot; Ft&quot;"/>
  </numFmts>
  <fonts count="8">
    <font>
      <sz val="11"/>
      <name val="Calibri"/>
    </font>
    <font>
      <sz val="16"/>
      <name val="Aptos Display"/>
      <b/>
      <color rgb="FFFFFFFF"/>
    </font>
    <font>
      <b/>
      <color rgb="FFFFFFFF"/>
    </font>
    <font>
      <i/>
      <color rgb="FF666666"/>
    </font>
    <font>
      <sz val="9"/>
      <i/>
      <color rgb="FF666666"/>
    </font>
    <font>
      <sz val="11"/>
      <name val="Calibri"/>
      <color theme="1"/>
    </font>
    <font>
      <sz val="11"/>
      <b/>
      <color theme="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5" fillId="0" borderId="0" xfId="0" applyNumberFormat="1" applyFont="1"/>
    <xf numFmtId="0" fontId="5" fillId="0" borderId="1" xfId="0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9" fontId="5" fillId="0" borderId="1" xfId="0" applyNumberFormat="1" applyFont="1" applyBorder="1"/>
    <xf numFmtId="0" fontId="5" fillId="0" borderId="0" xfId="0" applyFont="1" applyAlignment="1">
      <alignment horizontal="center"/>
    </xf>
    <xf numFmtId="166" fontId="5" fillId="0" borderId="0" xfId="0" applyNumberFormat="1" applyFont="1"/>
    <xf numFmtId="0" fontId="5" fillId="4" borderId="1" xfId="0" applyFont="1" applyFill="1" applyBorder="1"/>
    <xf numFmtId="165" fontId="5" fillId="4" borderId="1" xfId="0" applyNumberFormat="1" applyFont="1" applyFill="1" applyBorder="1"/>
    <xf numFmtId="166" fontId="5" fillId="4" borderId="1" xfId="0" applyNumberFormat="1" applyFont="1" applyFill="1" applyBorder="1"/>
    <xf numFmtId="9" fontId="5" fillId="4" borderId="1" xfId="0" applyNumberFormat="1" applyFont="1" applyFill="1" applyBorder="1"/>
    <xf numFmtId="0" fontId="6" fillId="5" borderId="0" xfId="0" applyFont="1" applyFill="1"/>
    <xf numFmtId="0" fontId="7" fillId="6" borderId="0" xfId="0" applyFont="1" applyFill="1"/>
    <xf numFmtId="166" fontId="5" fillId="6" borderId="0" xfId="0" applyNumberFormat="1" applyFont="1" applyFill="1"/>
    <xf numFmtId="0" fontId="7" fillId="7" borderId="0" xfId="0" applyFont="1" applyFill="1"/>
    <xf numFmtId="0" fontId="0" fillId="7" borderId="0" xfId="0" applyFill="1"/>
    <xf numFmtId="165" fontId="5" fillId="0" borderId="0" xfId="0" applyNumberFormat="1" applyFont="1"/>
    <xf numFmtId="167" fontId="0" fillId="0" borderId="0" xfId="0" applyNumberFormat="1"/>
    <xf numFmtId="0" fontId="7" fillId="0" borderId="0" xfId="0" applyFont="1"/>
    <xf numFmtId="168" fontId="5" fillId="0" borderId="0" xfId="0" applyNumberFormat="1" applyFont="1"/>
    <xf numFmtId="169" fontId="5" fillId="0" borderId="0" xfId="0" applyNumberFormat="1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 xmlns:mc="http://schemas.openxmlformats.org/markup-compatibility/2006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Felhasználoi előfizetesek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Alap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'Felhasználói adatok'!F66:F66</c:f>
            </c:strRef>
          </c:cat>
          <c:val>
            <c:numRef>
              <c:f>'Felhasználói adatok'!E58:E58</c:f>
            </c:numRef>
          </c:val>
          <c:extLst>
            <c:ext xmlns:c16="http://schemas.microsoft.com/office/drawing/2014/chart" uri="{C3380CC4-5D6E-409C-BE32-E72D297353CC}">
              <c16:uniqueId val="{00000000-F52E-47BC-822F-A046A80610BE}"/>
            </c:ext>
          </c:extLst>
        </c:ser>
        <c:ser>
          <c:idx val="1"/>
          <c:order val="1"/>
          <c:tx>
            <c:v>Plusz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'Felhasználói adatok'!F66:F66</c:f>
            </c:strRef>
          </c:cat>
          <c:val>
            <c:numRef>
              <c:f>'Felhasználói adatok'!E59:E59</c:f>
            </c:numRef>
          </c:val>
          <c:extLst>
            <c:ext xmlns:c16="http://schemas.microsoft.com/office/drawing/2014/chart" uri="{C3380CC4-5D6E-409C-BE32-E72D297353CC}">
              <c16:uniqueId val="{00000000-F52E-47BC-822F-A046A80610BE}"/>
            </c:ext>
          </c:extLst>
        </c:ser>
        <c:ser>
          <c:idx val="2"/>
          <c:order val="2"/>
          <c:tx>
            <c:v>Pro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'Felhasználói adatok'!F66:F66</c:f>
            </c:strRef>
          </c:cat>
          <c:val>
            <c:numRef>
              <c:f>'Felhasználói adatok'!E60:E60</c:f>
            </c:numRef>
          </c:val>
          <c:extLst>
            <c:ext xmlns:c16="http://schemas.microsoft.com/office/drawing/2014/chart" uri="{C3380CC4-5D6E-409C-BE32-E72D297353CC}">
              <c16:uniqueId val="{00000000-F52E-47BC-822F-A046A8061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03664"/>
        <c:axId val="1789284464"/>
      </c:barChart>
      <c:catAx>
        <c:axId val="4700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84464"/>
        <c:crosses val="autoZero"/>
        <c:auto val="1"/>
        <c:lblAlgn val="ctr"/>
        <c:lblOffset val="100"/>
        <c:tickLblSkip val="1"/>
        <c:tickMarkSkip val="1"/>
      </c:catAx>
      <c:valAx>
        <c:axId val="17892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 xmlns:mc="http://schemas.openxmlformats.org/markup-compatibility/2006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/>
    <c:autoTitleDeleted val="0"/>
    <c:plotArea>
      <c:layout/>
      <c:pieChart>
        <c:varyColors val="1"/>
        <c:ser>
          <c:idx val="0"/>
          <c:order val="0"/>
          <c:cat>
            <c:strRef>
              <c:f>'Felhasználói adatok'!O59:O61</c:f>
            </c:strRef>
          </c:cat>
          <c:val>
            <c:numRef>
              <c:f>'Felhasználói adatok'!P59:P61</c:f>
            </c:numRef>
          </c:val>
          <c:extLst>
            <c:ext xmlns:c16="http://schemas.microsoft.com/office/drawing/2014/chart" uri="{C3380CC4-5D6E-409C-BE32-E72D297353CC}">
              <c16:uniqueId val="{00000000-3689-4BB4-A84F-05B9F3BBE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9</xdr:col>
      <xdr:colOff>0</xdr:colOff>
      <xdr:row>103</xdr:row>
      <xdr:rowOff>0</xdr:rowOff>
    </xdr:from>
    <xdr:to>
      <xdr:col>15</xdr:col>
      <xdr:colOff>609600</xdr:colOff>
      <xdr:row>125</xdr:row>
      <xdr:rowOff>124778</xdr:rowOff>
    </xdr:to>
    <xdr:graphicFrame>
      <xdr:nvGraphicFramePr>
        <xdr:cNvPr id="1" name="Chart 1"/>
        <xdr:cNvGraphicFramePr/>
      </xdr:nvGraphicFramePr>
      <xdr:xfrm>
        <a:off x="0" y="0"/>
        <a:ext cx="6315075" cy="430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103</xdr:row>
      <xdr:rowOff>0</xdr:rowOff>
    </xdr:from>
    <xdr:to>
      <xdr:col>40</xdr:col>
      <xdr:colOff>295275</xdr:colOff>
      <xdr:row>124</xdr:row>
      <xdr:rowOff>171926</xdr:rowOff>
    </xdr:to>
    <xdr:graphicFrame>
      <xdr:nvGraphicFramePr>
        <xdr:cNvPr id="2" name="Chart 2"/>
        <xdr:cNvGraphicFramePr/>
      </xdr:nvGraphicFramePr>
      <xdr:xfrm>
        <a:off x="0" y="0"/>
        <a:ext cx="4495800" cy="4162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87"/>
  <sheetViews>
    <sheetView workbookViewId="0" showGridLines="0" zoomScale="85">
      <pane state="frozen" ySplit="4" topLeftCell="A5" activePane="bottomLeft"/>
      <selection pane="bottomLeft" activeCell="A5" sqref="A5"/>
    </sheetView>
  </sheetViews>
  <sheetFormatPr defaultRowHeight="14.96"/>
  <cols>
    <col min="1" max="1" width="21.5703125" customWidth="1"/>
    <col min="2" max="2" width="19.7109375" customWidth="1"/>
    <col min="3" max="3" width="16" customWidth="1"/>
    <col min="4" max="4" width="15.28515625" customWidth="1"/>
    <col min="5" max="5" width="20" customWidth="1"/>
    <col min="6" max="6" width="23" customWidth="1"/>
    <col min="7" max="7" width="20" customWidth="1"/>
    <col min="8" max="8" width="22" customWidth="1"/>
    <col min="9" max="9" width="20" customWidth="1"/>
    <col min="10" max="10" width="19" customWidth="1"/>
    <col min="11" max="11" width="3" customWidth="1"/>
    <col min="12" max="12" width="15" customWidth="1"/>
    <col min="13" max="13" width="19.28515625" customWidth="1"/>
    <col min="14" max="14" width="7" customWidth="1"/>
    <col min="15" max="15" width="22.28515625" customWidth="1"/>
    <col min="16" max="16" width="14.140625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  <col min="35" max="35" width="7" customWidth="1"/>
    <col min="36" max="36" width="7" customWidth="1"/>
    <col min="37" max="37" width="7" customWidth="1"/>
    <col min="38" max="38" width="7" customWidth="1"/>
    <col min="39" max="39" width="7" customWidth="1"/>
    <col min="40" max="40" width="7" customWidth="1"/>
    <col min="41" max="41" width="7" customWidth="1"/>
    <col min="42" max="42" width="7" customWidth="1"/>
    <col min="43" max="43" width="18.7109375" customWidth="1"/>
    <col min="44" max="44" width="18" customWidth="1"/>
  </cols>
  <sheetData>
    <row r="1" customHeight="1" ht="31.5">
      <c r="A1" t="s" s="1">
        <v>0</v>
      </c>
      <c r="L1" t="s" s="2">
        <v>1</v>
      </c>
    </row>
    <row r="2" ht="15.75">
      <c r="A2" s="3"/>
      <c r="L2" t="s" s="3">
        <v>2</v>
      </c>
    </row>
    <row r="3" ht="15.75">
      <c r="A3" s="4"/>
      <c r="AQ3" t="s" s="5">
        <v>3</v>
      </c>
    </row>
    <row r="4" customHeight="1" ht="33.91">
      <c r="A4" t="s" s="6">
        <v>4</v>
      </c>
      <c r="B4" t="s" s="6">
        <v>5</v>
      </c>
      <c r="C4" t="s" s="6">
        <v>6</v>
      </c>
      <c r="D4" t="s" s="6">
        <v>7</v>
      </c>
      <c r="E4" t="s" s="6">
        <v>8</v>
      </c>
      <c r="F4" t="s" s="6">
        <v>9</v>
      </c>
      <c r="G4" t="s" s="6">
        <v>10</v>
      </c>
      <c r="H4" t="s" s="6">
        <v>11</v>
      </c>
      <c r="I4" t="s" s="6">
        <v>12</v>
      </c>
      <c r="J4" t="s" s="6">
        <v>13</v>
      </c>
      <c r="L4" t="s" s="7">
        <v>4</v>
      </c>
      <c r="M4" s="8">
        <v>46289</v>
      </c>
      <c r="N4" s="8">
        <v>46290</v>
      </c>
      <c r="O4" s="8">
        <v>46291</v>
      </c>
      <c r="P4" s="8">
        <v>46292</v>
      </c>
      <c r="Q4" s="8">
        <v>46293</v>
      </c>
      <c r="R4" s="8">
        <v>46294</v>
      </c>
      <c r="S4" s="8">
        <v>46295</v>
      </c>
      <c r="T4" s="8">
        <v>46296</v>
      </c>
      <c r="U4" s="8">
        <v>46297</v>
      </c>
      <c r="V4" s="8">
        <v>46298</v>
      </c>
      <c r="W4" s="8">
        <v>46299</v>
      </c>
      <c r="X4" s="8">
        <v>46300</v>
      </c>
      <c r="Y4" s="8">
        <v>46301</v>
      </c>
      <c r="Z4" s="8">
        <v>46302</v>
      </c>
      <c r="AA4" s="8">
        <v>46303</v>
      </c>
      <c r="AB4" s="8">
        <v>46304</v>
      </c>
      <c r="AC4" s="8">
        <v>46305</v>
      </c>
      <c r="AD4" s="8">
        <v>46306</v>
      </c>
      <c r="AE4" s="8">
        <v>46307</v>
      </c>
      <c r="AF4" s="8">
        <v>46308</v>
      </c>
      <c r="AG4" s="8">
        <v>46309</v>
      </c>
      <c r="AH4" s="8">
        <v>46310</v>
      </c>
      <c r="AI4" s="8">
        <v>46311</v>
      </c>
      <c r="AJ4" s="8">
        <v>46312</v>
      </c>
      <c r="AK4" s="8">
        <v>46313</v>
      </c>
      <c r="AL4" s="8">
        <v>46314</v>
      </c>
      <c r="AM4" s="8">
        <v>46315</v>
      </c>
      <c r="AN4" s="8">
        <v>46316</v>
      </c>
      <c r="AO4" s="8">
        <v>46317</v>
      </c>
      <c r="AP4" s="9">
        <v>46318</v>
      </c>
      <c r="AQ4" t="s" s="5">
        <v>14</v>
      </c>
      <c r="AR4" t="s" s="5">
        <v>15</v>
      </c>
    </row>
    <row r="5" ht="16.5">
      <c r="A5" s="10">
        <v>1</v>
      </c>
      <c r="B5" t="s" s="10">
        <v>16</v>
      </c>
      <c r="C5" s="11">
        <v>46306</v>
      </c>
      <c r="D5" s="10">
        <v>4</v>
      </c>
      <c r="E5" t="s" s="10">
        <v>17</v>
      </c>
      <c r="F5" s="12">
        <v>390</v>
      </c>
      <c r="G5" t="s" s="10">
        <v>18</v>
      </c>
      <c r="H5" s="12">
        <f>VLOOKUP(G5,$AQ$5:$AR$7,2,FALSE)</f>
        <v>0</v>
      </c>
      <c r="I5" s="12">
        <f>IF(E5="Igen",H5+14990+F5,H5+F5)</f>
        <v>15380</v>
      </c>
      <c r="J5" s="13">
        <f>IF(D5&gt;0,D5/30,0)</f>
        <v>0.13333333333333333</v>
      </c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1</v>
      </c>
      <c r="AI5" s="14">
        <v>1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>
        <v>0</v>
      </c>
      <c r="AQ5" t="s">
        <v>18</v>
      </c>
      <c r="AR5" s="15">
        <v>0</v>
      </c>
    </row>
    <row r="6" ht="16.5">
      <c r="A6" s="16">
        <v>2</v>
      </c>
      <c r="B6" t="s" s="16">
        <v>19</v>
      </c>
      <c r="C6" s="17">
        <v>46283</v>
      </c>
      <c r="D6" s="16">
        <v>26</v>
      </c>
      <c r="E6" t="s" s="16">
        <v>20</v>
      </c>
      <c r="F6" s="18">
        <v>0</v>
      </c>
      <c r="G6" t="s" s="16">
        <v>18</v>
      </c>
      <c r="H6" s="18">
        <f>VLOOKUP(G6,$AQ$5:$AR$7,2,FALSE)</f>
        <v>0</v>
      </c>
      <c r="I6" s="18">
        <f>IF(E6="Igen",H6+14990+F6,H6+F6)</f>
        <v>0</v>
      </c>
      <c r="J6" s="19">
        <f>IF(D6&gt;0,D6/30,0)</f>
        <v>0.8666666666666667</v>
      </c>
      <c r="L6" s="14">
        <v>2</v>
      </c>
      <c r="M6" s="14">
        <v>1</v>
      </c>
      <c r="N6" s="14">
        <v>1</v>
      </c>
      <c r="O6" s="14">
        <v>1</v>
      </c>
      <c r="P6" s="14">
        <v>0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0</v>
      </c>
      <c r="Z6" s="14">
        <v>1</v>
      </c>
      <c r="AA6" s="14">
        <v>1</v>
      </c>
      <c r="AB6" s="14">
        <v>0</v>
      </c>
      <c r="AC6" s="14">
        <v>0</v>
      </c>
      <c r="AD6" s="14">
        <v>1</v>
      </c>
      <c r="AE6" s="14">
        <v>1</v>
      </c>
      <c r="AF6" s="14">
        <v>1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1</v>
      </c>
      <c r="AM6" s="14">
        <v>1</v>
      </c>
      <c r="AN6" s="14">
        <v>0</v>
      </c>
      <c r="AO6" s="14">
        <v>1</v>
      </c>
      <c r="AP6">
        <v>1</v>
      </c>
      <c r="AQ6" t="s">
        <v>21</v>
      </c>
      <c r="AR6" s="15">
        <v>790</v>
      </c>
    </row>
    <row r="7" ht="16.5">
      <c r="A7" s="10">
        <v>3</v>
      </c>
      <c r="B7" t="s" s="10">
        <v>22</v>
      </c>
      <c r="C7" s="11">
        <v>46308</v>
      </c>
      <c r="D7" s="10">
        <v>9</v>
      </c>
      <c r="E7" t="s" s="10">
        <v>20</v>
      </c>
      <c r="F7" s="12">
        <v>0</v>
      </c>
      <c r="G7" t="s" s="10">
        <v>18</v>
      </c>
      <c r="H7" s="12">
        <f>VLOOKUP(G7,$AQ$5:$AR$7,2,FALSE)</f>
        <v>0</v>
      </c>
      <c r="I7" s="12">
        <f>IF(E7="Igen",H7+14990+F7,H7+F7)</f>
        <v>0</v>
      </c>
      <c r="J7" s="13">
        <f>IF(D7&gt;0,D7/30,0)</f>
        <v>0.3</v>
      </c>
      <c r="L7" s="14">
        <v>3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>
        <v>1</v>
      </c>
      <c r="AQ7" t="s">
        <v>23</v>
      </c>
      <c r="AR7" s="15">
        <v>1490</v>
      </c>
    </row>
    <row r="8" ht="16.5">
      <c r="A8" s="16">
        <v>4</v>
      </c>
      <c r="B8" t="s" s="16">
        <v>24</v>
      </c>
      <c r="C8" s="17">
        <v>46268</v>
      </c>
      <c r="D8" s="16">
        <v>26</v>
      </c>
      <c r="E8" t="s" s="16">
        <v>20</v>
      </c>
      <c r="F8" s="18">
        <v>390</v>
      </c>
      <c r="G8" t="s" s="16">
        <v>18</v>
      </c>
      <c r="H8" s="18">
        <f>VLOOKUP(G8,$AQ$5:$AR$7,2,FALSE)</f>
        <v>0</v>
      </c>
      <c r="I8" s="18">
        <f>IF(E8="Igen",H8+14990+F8,H8+F8)</f>
        <v>390</v>
      </c>
      <c r="J8" s="19">
        <f>IF(D8&gt;0,D8/30,0)</f>
        <v>0.8666666666666667</v>
      </c>
      <c r="L8" s="14">
        <v>4</v>
      </c>
      <c r="M8" s="14">
        <v>1</v>
      </c>
      <c r="N8" s="14">
        <v>0</v>
      </c>
      <c r="O8" s="14">
        <v>1</v>
      </c>
      <c r="P8" s="14">
        <v>1</v>
      </c>
      <c r="Q8" s="14">
        <v>0</v>
      </c>
      <c r="R8" s="14">
        <v>0</v>
      </c>
      <c r="S8" s="14">
        <v>1</v>
      </c>
      <c r="T8" s="14">
        <v>1</v>
      </c>
      <c r="U8" s="14">
        <v>0</v>
      </c>
      <c r="V8" s="14">
        <v>1</v>
      </c>
      <c r="W8" s="14">
        <v>0</v>
      </c>
      <c r="X8" s="14">
        <v>1</v>
      </c>
      <c r="Y8" s="14">
        <v>1</v>
      </c>
      <c r="Z8" s="14">
        <v>1</v>
      </c>
      <c r="AA8" s="14">
        <v>0</v>
      </c>
      <c r="AB8" s="14">
        <v>1</v>
      </c>
      <c r="AC8" s="14">
        <v>1</v>
      </c>
      <c r="AD8" s="14">
        <v>0</v>
      </c>
      <c r="AE8" s="14">
        <v>0</v>
      </c>
      <c r="AF8" s="14">
        <v>1</v>
      </c>
      <c r="AG8" s="14">
        <v>1</v>
      </c>
      <c r="AH8" s="14">
        <v>0</v>
      </c>
      <c r="AI8" s="14">
        <v>1</v>
      </c>
      <c r="AJ8" s="14">
        <v>1</v>
      </c>
      <c r="AK8" s="14">
        <v>1</v>
      </c>
      <c r="AL8" s="14">
        <v>1</v>
      </c>
      <c r="AM8" s="14">
        <v>1</v>
      </c>
      <c r="AN8" s="14">
        <v>1</v>
      </c>
      <c r="AO8" s="14">
        <v>0</v>
      </c>
      <c r="AP8">
        <v>0</v>
      </c>
    </row>
    <row r="9" ht="16.5">
      <c r="A9" s="10">
        <v>5</v>
      </c>
      <c r="B9" t="s" s="10">
        <v>25</v>
      </c>
      <c r="C9" s="11">
        <v>46273</v>
      </c>
      <c r="D9" s="10">
        <v>22</v>
      </c>
      <c r="E9" t="s" s="10">
        <v>20</v>
      </c>
      <c r="F9" s="12">
        <v>0</v>
      </c>
      <c r="G9" t="s" s="10">
        <v>18</v>
      </c>
      <c r="H9" s="12">
        <f>VLOOKUP(G9,$AQ$5:$AR$7,2,FALSE)</f>
        <v>0</v>
      </c>
      <c r="I9" s="12">
        <f>IF(E9="Igen",H9+14990+F9,H9+F9)</f>
        <v>0</v>
      </c>
      <c r="J9" s="13">
        <f>IF(D9&gt;0,D9/30,0)</f>
        <v>0.7333333333333333</v>
      </c>
      <c r="L9" s="14">
        <v>5</v>
      </c>
      <c r="M9" s="14">
        <v>1</v>
      </c>
      <c r="N9" s="14">
        <v>1</v>
      </c>
      <c r="O9" s="14">
        <v>1</v>
      </c>
      <c r="P9" s="14">
        <v>1</v>
      </c>
      <c r="Q9" s="14">
        <v>0</v>
      </c>
      <c r="R9" s="14">
        <v>0</v>
      </c>
      <c r="S9" s="14">
        <v>0</v>
      </c>
      <c r="T9" s="14">
        <v>0</v>
      </c>
      <c r="U9" s="14">
        <v>1</v>
      </c>
      <c r="V9" s="14">
        <v>1</v>
      </c>
      <c r="W9" s="14">
        <v>0</v>
      </c>
      <c r="X9" s="14">
        <v>0</v>
      </c>
      <c r="Y9" s="14">
        <v>1</v>
      </c>
      <c r="Z9" s="14">
        <v>1</v>
      </c>
      <c r="AA9" s="14">
        <v>1</v>
      </c>
      <c r="AB9" s="14">
        <v>1</v>
      </c>
      <c r="AC9" s="14">
        <v>0</v>
      </c>
      <c r="AD9" s="14">
        <v>0</v>
      </c>
      <c r="AE9" s="14">
        <v>0</v>
      </c>
      <c r="AF9" s="14">
        <v>0</v>
      </c>
      <c r="AG9" s="14">
        <v>1</v>
      </c>
      <c r="AH9" s="14">
        <v>1</v>
      </c>
      <c r="AI9" s="14">
        <v>1</v>
      </c>
      <c r="AJ9" s="14">
        <v>0</v>
      </c>
      <c r="AK9" s="14">
        <v>0</v>
      </c>
      <c r="AL9" s="14">
        <v>1</v>
      </c>
      <c r="AM9" s="14">
        <v>1</v>
      </c>
      <c r="AN9" s="14">
        <v>0</v>
      </c>
      <c r="AO9" s="14">
        <v>1</v>
      </c>
      <c r="AP9">
        <v>0</v>
      </c>
    </row>
    <row r="10" ht="16.5">
      <c r="A10" s="16">
        <v>6</v>
      </c>
      <c r="B10" t="s" s="16">
        <v>26</v>
      </c>
      <c r="C10" s="17">
        <v>46270</v>
      </c>
      <c r="D10" s="16">
        <v>25</v>
      </c>
      <c r="E10" t="s" s="16">
        <v>20</v>
      </c>
      <c r="F10" s="18">
        <v>790</v>
      </c>
      <c r="G10" t="s" s="16">
        <v>18</v>
      </c>
      <c r="H10" s="18">
        <f>VLOOKUP(G10,$AQ$5:$AR$7,2,FALSE)</f>
        <v>0</v>
      </c>
      <c r="I10" s="18">
        <f>IF(E10="Igen",H10+14990+F10,H10+F10)</f>
        <v>790</v>
      </c>
      <c r="J10" s="19">
        <f>IF(D10&gt;0,D10/30,0)</f>
        <v>0.8333333333333334</v>
      </c>
      <c r="L10" s="14">
        <v>6</v>
      </c>
      <c r="M10" s="14">
        <v>1</v>
      </c>
      <c r="N10" s="14">
        <v>1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1</v>
      </c>
      <c r="V10" s="14">
        <v>0</v>
      </c>
      <c r="W10" s="14">
        <v>1</v>
      </c>
      <c r="X10" s="14">
        <v>0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0</v>
      </c>
      <c r="AG10" s="14">
        <v>1</v>
      </c>
      <c r="AH10" s="14">
        <v>1</v>
      </c>
      <c r="AI10" s="14">
        <v>1</v>
      </c>
      <c r="AJ10" s="14">
        <v>1</v>
      </c>
      <c r="AK10" s="14">
        <v>1</v>
      </c>
      <c r="AL10" s="14">
        <v>1</v>
      </c>
      <c r="AM10" s="14">
        <v>1</v>
      </c>
      <c r="AN10" s="14">
        <v>1</v>
      </c>
      <c r="AO10" s="14">
        <v>0</v>
      </c>
      <c r="AP10">
        <v>0</v>
      </c>
    </row>
    <row r="11" ht="16.5">
      <c r="A11" s="10">
        <v>7</v>
      </c>
      <c r="B11" t="s" s="10">
        <v>27</v>
      </c>
      <c r="C11" s="11">
        <v>46302</v>
      </c>
      <c r="D11" s="10">
        <v>16</v>
      </c>
      <c r="E11" t="s" s="10">
        <v>17</v>
      </c>
      <c r="F11" s="12">
        <v>0</v>
      </c>
      <c r="G11" t="s" s="10">
        <v>18</v>
      </c>
      <c r="H11" s="12">
        <f>VLOOKUP(G11,$AQ$5:$AR$7,2,FALSE)</f>
        <v>0</v>
      </c>
      <c r="I11" s="12">
        <f>IF(E11="Igen",H11+14990+F11,H11+F11)</f>
        <v>14990</v>
      </c>
      <c r="J11" s="13">
        <f>IF(D11&gt;0,D11/30,0)</f>
        <v>0.5333333333333333</v>
      </c>
      <c r="L11" s="14">
        <v>7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1</v>
      </c>
      <c r="AA11" s="14">
        <v>0</v>
      </c>
      <c r="AB11" s="14">
        <v>1</v>
      </c>
      <c r="AC11" s="14">
        <v>0</v>
      </c>
      <c r="AD11" s="14">
        <v>0</v>
      </c>
      <c r="AE11" s="14">
        <v>1</v>
      </c>
      <c r="AF11" s="14">
        <v>0</v>
      </c>
      <c r="AG11" s="14">
        <v>0</v>
      </c>
      <c r="AH11" s="14">
        <v>1</v>
      </c>
      <c r="AI11" s="14">
        <v>0</v>
      </c>
      <c r="AJ11" s="14">
        <v>0</v>
      </c>
      <c r="AK11" s="14">
        <v>1</v>
      </c>
      <c r="AL11" s="14">
        <v>1</v>
      </c>
      <c r="AM11" s="14">
        <v>0</v>
      </c>
      <c r="AN11" s="14">
        <v>1</v>
      </c>
      <c r="AO11" s="14">
        <v>1</v>
      </c>
      <c r="AP11">
        <v>0</v>
      </c>
    </row>
    <row r="12" ht="16.5">
      <c r="A12" s="16">
        <v>8</v>
      </c>
      <c r="B12" t="s" s="16">
        <v>28</v>
      </c>
      <c r="C12" s="17">
        <v>46270</v>
      </c>
      <c r="D12" s="16">
        <v>15</v>
      </c>
      <c r="E12" t="s" s="16">
        <v>20</v>
      </c>
      <c r="F12" s="18">
        <v>0</v>
      </c>
      <c r="G12" t="s" s="16">
        <v>18</v>
      </c>
      <c r="H12" s="18">
        <f>VLOOKUP(G12,$AQ$5:$AR$7,2,FALSE)</f>
        <v>0</v>
      </c>
      <c r="I12" s="18">
        <f>IF(E12="Igen",H12+14990+F12,H12+F12)</f>
        <v>0</v>
      </c>
      <c r="J12" s="19">
        <f>IF(D12&gt;0,D12/30,0)</f>
        <v>0.5</v>
      </c>
      <c r="L12" s="14">
        <v>8</v>
      </c>
      <c r="M12" s="14">
        <v>0</v>
      </c>
      <c r="N12" s="14">
        <v>0</v>
      </c>
      <c r="O12" s="14">
        <v>1</v>
      </c>
      <c r="P12" s="14">
        <v>1</v>
      </c>
      <c r="Q12" s="14">
        <v>0</v>
      </c>
      <c r="R12" s="14">
        <v>1</v>
      </c>
      <c r="S12" s="14">
        <v>0</v>
      </c>
      <c r="T12" s="14">
        <v>0</v>
      </c>
      <c r="U12" s="14">
        <v>0</v>
      </c>
      <c r="V12" s="14">
        <v>0</v>
      </c>
      <c r="W12" s="14">
        <v>1</v>
      </c>
      <c r="X12" s="14">
        <v>1</v>
      </c>
      <c r="Y12" s="14">
        <v>0</v>
      </c>
      <c r="Z12" s="14">
        <v>0</v>
      </c>
      <c r="AA12" s="14">
        <v>0</v>
      </c>
      <c r="AB12" s="14">
        <v>1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1</v>
      </c>
      <c r="AI12" s="14">
        <v>1</v>
      </c>
      <c r="AJ12" s="14">
        <v>1</v>
      </c>
      <c r="AK12" s="14">
        <v>0</v>
      </c>
      <c r="AL12" s="14">
        <v>1</v>
      </c>
      <c r="AM12" s="14">
        <v>1</v>
      </c>
      <c r="AN12" s="14">
        <v>1</v>
      </c>
      <c r="AO12" s="14">
        <v>0</v>
      </c>
      <c r="AP12">
        <v>0</v>
      </c>
    </row>
    <row r="13" ht="16.5">
      <c r="A13" s="10">
        <v>9</v>
      </c>
      <c r="B13" t="s" s="10">
        <v>29</v>
      </c>
      <c r="C13" s="11">
        <v>46299</v>
      </c>
      <c r="D13" s="10">
        <v>6</v>
      </c>
      <c r="E13" t="s" s="10">
        <v>17</v>
      </c>
      <c r="F13" s="12">
        <v>0</v>
      </c>
      <c r="G13" t="s" s="10">
        <v>23</v>
      </c>
      <c r="H13" s="12">
        <f>VLOOKUP(G13,$AQ$5:$AR$7,2,FALSE)</f>
        <v>1490</v>
      </c>
      <c r="I13" s="12">
        <f>IF(E13="Igen",H13+14990+F13,H13+F13)</f>
        <v>16480</v>
      </c>
      <c r="J13" s="13">
        <f>IF(D13&gt;0,D13/30,0)</f>
        <v>0.2</v>
      </c>
      <c r="L13" s="14">
        <v>9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1</v>
      </c>
      <c r="X13" s="14">
        <v>1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1</v>
      </c>
      <c r="AE13" s="14">
        <v>1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</v>
      </c>
      <c r="AN13" s="14">
        <v>0</v>
      </c>
      <c r="AO13" s="14">
        <v>0</v>
      </c>
      <c r="AP13">
        <v>0</v>
      </c>
    </row>
    <row r="14" ht="16.5">
      <c r="A14" s="16">
        <v>10</v>
      </c>
      <c r="B14" t="s" s="16">
        <v>30</v>
      </c>
      <c r="C14" s="17">
        <v>46270</v>
      </c>
      <c r="D14" s="16">
        <v>1</v>
      </c>
      <c r="E14" t="s" s="16">
        <v>20</v>
      </c>
      <c r="F14" s="18">
        <v>0</v>
      </c>
      <c r="G14" t="s" s="16">
        <v>18</v>
      </c>
      <c r="H14" s="18">
        <f>VLOOKUP(G14,$AQ$5:$AR$7,2,FALSE)</f>
        <v>0</v>
      </c>
      <c r="I14" s="18">
        <f>IF(E14="Igen",H14+14990+F14,H14+F14)</f>
        <v>0</v>
      </c>
      <c r="J14" s="19">
        <f>IF(D14&gt;0,D14/30,0)</f>
        <v>0.03333333333333333</v>
      </c>
      <c r="L14" s="14">
        <v>10</v>
      </c>
      <c r="M14" s="14">
        <v>1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1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>
        <v>0</v>
      </c>
    </row>
    <row r="15" ht="16.5">
      <c r="A15" s="10">
        <v>11</v>
      </c>
      <c r="B15" t="s" s="10">
        <v>31</v>
      </c>
      <c r="C15" s="11">
        <v>46269</v>
      </c>
      <c r="D15" s="10">
        <v>3</v>
      </c>
      <c r="E15" t="s" s="10">
        <v>20</v>
      </c>
      <c r="F15" s="12">
        <v>0</v>
      </c>
      <c r="G15" t="s" s="10">
        <v>18</v>
      </c>
      <c r="H15" s="12">
        <f>VLOOKUP(G15,$AQ$5:$AR$7,2,FALSE)</f>
        <v>0</v>
      </c>
      <c r="I15" s="12">
        <f>IF(E15="Igen",H15+14990+F15,H15+F15)</f>
        <v>0</v>
      </c>
      <c r="J15" s="13">
        <f>IF(D15&gt;0,D15/30,0)</f>
        <v>0.1</v>
      </c>
      <c r="L15" s="14">
        <v>11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1</v>
      </c>
      <c r="Y15" s="14">
        <v>0</v>
      </c>
      <c r="Z15" s="14">
        <v>0</v>
      </c>
      <c r="AA15" s="14">
        <v>0</v>
      </c>
      <c r="AB15" s="14">
        <v>1</v>
      </c>
      <c r="AC15" s="14">
        <v>0</v>
      </c>
      <c r="AD15" s="14">
        <v>0</v>
      </c>
      <c r="AE15" s="14">
        <v>0</v>
      </c>
      <c r="AF15" s="14">
        <v>1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>
        <v>0</v>
      </c>
    </row>
    <row r="16" ht="16.5">
      <c r="A16" s="16">
        <v>12</v>
      </c>
      <c r="B16" t="s" s="16">
        <v>32</v>
      </c>
      <c r="C16" s="17">
        <v>46276</v>
      </c>
      <c r="D16" s="16">
        <v>26</v>
      </c>
      <c r="E16" t="s" s="16">
        <v>20</v>
      </c>
      <c r="F16" s="18">
        <v>0</v>
      </c>
      <c r="G16" t="s" s="16">
        <v>18</v>
      </c>
      <c r="H16" s="18">
        <f>VLOOKUP(G16,$AQ$5:$AR$7,2,FALSE)</f>
        <v>0</v>
      </c>
      <c r="I16" s="18">
        <f>IF(E16="Igen",H16+14990+F16,H16+F16)</f>
        <v>0</v>
      </c>
      <c r="J16" s="19">
        <f>IF(D16&gt;0,D16/30,0)</f>
        <v>0.8666666666666667</v>
      </c>
      <c r="L16" s="14">
        <v>12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 s="14">
        <v>1</v>
      </c>
      <c r="T16" s="14">
        <v>0</v>
      </c>
      <c r="U16" s="14">
        <v>1</v>
      </c>
      <c r="V16" s="14">
        <v>0</v>
      </c>
      <c r="W16" s="14">
        <v>0</v>
      </c>
      <c r="X16" s="14">
        <v>1</v>
      </c>
      <c r="Y16" s="14">
        <v>0</v>
      </c>
      <c r="Z16" s="14">
        <v>1</v>
      </c>
      <c r="AA16" s="14">
        <v>1</v>
      </c>
      <c r="AB16" s="14">
        <v>0</v>
      </c>
      <c r="AC16" s="14">
        <v>1</v>
      </c>
      <c r="AD16" s="14">
        <v>1</v>
      </c>
      <c r="AE16" s="14">
        <v>1</v>
      </c>
      <c r="AF16" s="14">
        <v>1</v>
      </c>
      <c r="AG16" s="14">
        <v>0</v>
      </c>
      <c r="AH16" s="14">
        <v>0</v>
      </c>
      <c r="AI16" s="14">
        <v>1</v>
      </c>
      <c r="AJ16" s="14">
        <v>0</v>
      </c>
      <c r="AK16" s="14">
        <v>1</v>
      </c>
      <c r="AL16" s="14">
        <v>0</v>
      </c>
      <c r="AM16" s="14">
        <v>1</v>
      </c>
      <c r="AN16" s="14">
        <v>0</v>
      </c>
      <c r="AO16" s="14">
        <v>1</v>
      </c>
      <c r="AP16">
        <v>0</v>
      </c>
    </row>
    <row r="17" ht="16.5">
      <c r="A17" s="10">
        <v>13</v>
      </c>
      <c r="B17" t="s" s="10">
        <v>33</v>
      </c>
      <c r="C17" s="11">
        <v>46277</v>
      </c>
      <c r="D17" s="10">
        <v>19</v>
      </c>
      <c r="E17" t="s" s="10">
        <v>20</v>
      </c>
      <c r="F17" s="12">
        <v>0</v>
      </c>
      <c r="G17" t="s" s="10">
        <v>18</v>
      </c>
      <c r="H17" s="12">
        <f>VLOOKUP(G17,$AQ$5:$AR$7,2,FALSE)</f>
        <v>0</v>
      </c>
      <c r="I17" s="12">
        <f>IF(E17="Igen",H17+14990+F17,H17+F17)</f>
        <v>0</v>
      </c>
      <c r="J17" s="13">
        <f>IF(D17&gt;0,D17/30,0)</f>
        <v>0.6333333333333333</v>
      </c>
      <c r="L17" s="14">
        <v>13</v>
      </c>
      <c r="M17" s="14">
        <v>1</v>
      </c>
      <c r="N17" s="14">
        <v>0</v>
      </c>
      <c r="O17" s="14">
        <v>1</v>
      </c>
      <c r="P17" s="14">
        <v>0</v>
      </c>
      <c r="Q17" s="14">
        <v>1</v>
      </c>
      <c r="R17" s="14">
        <v>0</v>
      </c>
      <c r="S17" s="14">
        <v>1</v>
      </c>
      <c r="T17" s="14">
        <v>1</v>
      </c>
      <c r="U17" s="14">
        <v>1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</v>
      </c>
      <c r="AB17" s="14">
        <v>1</v>
      </c>
      <c r="AC17" s="14">
        <v>0</v>
      </c>
      <c r="AD17" s="14">
        <v>0</v>
      </c>
      <c r="AE17" s="14">
        <v>0</v>
      </c>
      <c r="AF17" s="14">
        <v>0</v>
      </c>
      <c r="AG17" s="14">
        <v>1</v>
      </c>
      <c r="AH17" s="14">
        <v>0</v>
      </c>
      <c r="AI17" s="14">
        <v>0</v>
      </c>
      <c r="AJ17" s="14">
        <v>0</v>
      </c>
      <c r="AK17" s="14">
        <v>1</v>
      </c>
      <c r="AL17" s="14">
        <v>0</v>
      </c>
      <c r="AM17" s="14">
        <v>0</v>
      </c>
      <c r="AN17" s="14">
        <v>1</v>
      </c>
      <c r="AO17" s="14">
        <v>0</v>
      </c>
      <c r="AP17">
        <v>1</v>
      </c>
    </row>
    <row r="18" ht="16.5">
      <c r="A18" s="16">
        <v>14</v>
      </c>
      <c r="B18" t="s" s="16">
        <v>34</v>
      </c>
      <c r="C18" s="17">
        <v>46313</v>
      </c>
      <c r="D18" s="16">
        <v>29</v>
      </c>
      <c r="E18" t="s" s="16">
        <v>17</v>
      </c>
      <c r="F18" s="18">
        <v>0</v>
      </c>
      <c r="G18" t="s" s="16">
        <v>18</v>
      </c>
      <c r="H18" s="18">
        <f>VLOOKUP(G18,$AQ$5:$AR$7,2,FALSE)</f>
        <v>0</v>
      </c>
      <c r="I18" s="18">
        <f>IF(E18="Igen",H18+14990+F18,H18+F18)</f>
        <v>14990</v>
      </c>
      <c r="J18" s="19">
        <f>IF(D18&gt;0,D18/30,0)</f>
        <v>0.9666666666666667</v>
      </c>
      <c r="L18" s="14">
        <v>14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1</v>
      </c>
      <c r="AM18" s="14">
        <v>1</v>
      </c>
      <c r="AN18" s="14">
        <v>0</v>
      </c>
      <c r="AO18" s="14">
        <v>1</v>
      </c>
      <c r="AP18">
        <v>1</v>
      </c>
    </row>
    <row r="19" ht="16.5">
      <c r="A19" s="10">
        <v>15</v>
      </c>
      <c r="B19" t="s" s="10">
        <v>35</v>
      </c>
      <c r="C19" s="11">
        <v>46294</v>
      </c>
      <c r="D19" s="10">
        <v>15</v>
      </c>
      <c r="E19" t="s" s="10">
        <v>20</v>
      </c>
      <c r="F19" s="12">
        <v>0</v>
      </c>
      <c r="G19" t="s" s="10">
        <v>18</v>
      </c>
      <c r="H19" s="12">
        <f>VLOOKUP(G19,$AQ$5:$AR$7,2,FALSE)</f>
        <v>0</v>
      </c>
      <c r="I19" s="12">
        <f>IF(E19="Igen",H19+14990+F19,H19+F19)</f>
        <v>0</v>
      </c>
      <c r="J19" s="13">
        <f>IF(D19&gt;0,D19/30,0)</f>
        <v>0.5</v>
      </c>
      <c r="L19" s="14">
        <v>15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1</v>
      </c>
      <c r="V19" s="14">
        <v>0</v>
      </c>
      <c r="W19" s="14">
        <v>0</v>
      </c>
      <c r="X19" s="14">
        <v>1</v>
      </c>
      <c r="Y19" s="14">
        <v>0</v>
      </c>
      <c r="Z19" s="14">
        <v>1</v>
      </c>
      <c r="AA19" s="14">
        <v>1</v>
      </c>
      <c r="AB19" s="14">
        <v>0</v>
      </c>
      <c r="AC19" s="14">
        <v>1</v>
      </c>
      <c r="AD19" s="14">
        <v>1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1</v>
      </c>
      <c r="AO19" s="14">
        <v>0</v>
      </c>
      <c r="AP19">
        <v>0</v>
      </c>
    </row>
    <row r="20" ht="16.5">
      <c r="A20" s="16">
        <v>16</v>
      </c>
      <c r="B20" t="s" s="16">
        <v>36</v>
      </c>
      <c r="C20" s="17">
        <v>46315</v>
      </c>
      <c r="D20" s="16">
        <v>29</v>
      </c>
      <c r="E20" t="s" s="16">
        <v>17</v>
      </c>
      <c r="F20" s="18">
        <v>0</v>
      </c>
      <c r="G20" t="s" s="16">
        <v>18</v>
      </c>
      <c r="H20" s="18">
        <f>VLOOKUP(G20,$AQ$5:$AR$7,2,FALSE)</f>
        <v>0</v>
      </c>
      <c r="I20" s="18">
        <f>IF(E20="Igen",H20+14990+F20,H20+F20)</f>
        <v>14990</v>
      </c>
      <c r="J20" s="19">
        <f>IF(D20&gt;0,D20/30,0)</f>
        <v>0.9666666666666667</v>
      </c>
      <c r="L20" s="14">
        <v>16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1</v>
      </c>
      <c r="AO20" s="14">
        <v>1</v>
      </c>
      <c r="AP20">
        <v>1</v>
      </c>
    </row>
    <row r="21" ht="16.5">
      <c r="A21" s="10">
        <v>17</v>
      </c>
      <c r="B21" t="s" s="10">
        <v>37</v>
      </c>
      <c r="C21" s="11">
        <v>46273</v>
      </c>
      <c r="D21" s="10">
        <v>15</v>
      </c>
      <c r="E21" t="s" s="10">
        <v>17</v>
      </c>
      <c r="F21" s="12">
        <v>0</v>
      </c>
      <c r="G21" t="s" s="10">
        <v>18</v>
      </c>
      <c r="H21" s="12">
        <f>VLOOKUP(G21,$AQ$5:$AR$7,2,FALSE)</f>
        <v>0</v>
      </c>
      <c r="I21" s="12">
        <f>IF(E21="Igen",H21+14990+F21,H21+F21)</f>
        <v>14990</v>
      </c>
      <c r="J21" s="13">
        <f>IF(D21&gt;0,D21/30,0)</f>
        <v>0.5</v>
      </c>
      <c r="L21" s="14">
        <v>17</v>
      </c>
      <c r="M21" s="14">
        <v>0</v>
      </c>
      <c r="N21" s="14">
        <v>1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1</v>
      </c>
      <c r="W21" s="14">
        <v>0</v>
      </c>
      <c r="X21" s="14">
        <v>0</v>
      </c>
      <c r="Y21" s="14">
        <v>0</v>
      </c>
      <c r="Z21" s="14">
        <v>0</v>
      </c>
      <c r="AA21" s="14">
        <v>1</v>
      </c>
      <c r="AB21" s="14">
        <v>0</v>
      </c>
      <c r="AC21" s="14">
        <v>0</v>
      </c>
      <c r="AD21" s="14">
        <v>1</v>
      </c>
      <c r="AE21" s="14">
        <v>0</v>
      </c>
      <c r="AF21" s="14">
        <v>0</v>
      </c>
      <c r="AG21" s="14">
        <v>1</v>
      </c>
      <c r="AH21" s="14">
        <v>1</v>
      </c>
      <c r="AI21" s="14">
        <v>0</v>
      </c>
      <c r="AJ21" s="14">
        <v>1</v>
      </c>
      <c r="AK21" s="14">
        <v>1</v>
      </c>
      <c r="AL21" s="14">
        <v>0</v>
      </c>
      <c r="AM21" s="14">
        <v>1</v>
      </c>
      <c r="AN21" s="14">
        <v>1</v>
      </c>
      <c r="AO21" s="14">
        <v>0</v>
      </c>
      <c r="AP21">
        <v>1</v>
      </c>
    </row>
    <row r="22" ht="16.5">
      <c r="A22" s="16">
        <v>18</v>
      </c>
      <c r="B22" t="s" s="16">
        <v>38</v>
      </c>
      <c r="C22" s="17">
        <v>46295</v>
      </c>
      <c r="D22" s="16">
        <v>14</v>
      </c>
      <c r="E22" t="s" s="16">
        <v>17</v>
      </c>
      <c r="F22" s="18">
        <v>0</v>
      </c>
      <c r="G22" t="s" s="16">
        <v>18</v>
      </c>
      <c r="H22" s="18">
        <f>VLOOKUP(G22,$AQ$5:$AR$7,2,FALSE)</f>
        <v>0</v>
      </c>
      <c r="I22" s="18">
        <f>IF(E22="Igen",H22+14990+F22,H22+F22)</f>
        <v>14990</v>
      </c>
      <c r="J22" s="19">
        <f>IF(D22&gt;0,D22/30,0)</f>
        <v>0.4666666666666667</v>
      </c>
      <c r="L22" s="14">
        <v>18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1</v>
      </c>
      <c r="V22" s="14">
        <v>0</v>
      </c>
      <c r="W22" s="14">
        <v>0</v>
      </c>
      <c r="X22" s="14">
        <v>0</v>
      </c>
      <c r="Y22" s="14">
        <v>0</v>
      </c>
      <c r="Z22" s="14">
        <v>1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1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>
        <v>0</v>
      </c>
    </row>
    <row r="23" ht="16.5">
      <c r="A23" s="10">
        <v>19</v>
      </c>
      <c r="B23" t="s" s="10">
        <v>39</v>
      </c>
      <c r="C23" s="11">
        <v>46305</v>
      </c>
      <c r="D23" s="10">
        <v>18</v>
      </c>
      <c r="E23" t="s" s="10">
        <v>17</v>
      </c>
      <c r="F23" s="12">
        <v>0</v>
      </c>
      <c r="G23" t="s" s="10">
        <v>21</v>
      </c>
      <c r="H23" s="12">
        <f>VLOOKUP(G23,$AQ$5:$AR$7,2,FALSE)</f>
        <v>790</v>
      </c>
      <c r="I23" s="12">
        <f>IF(E23="Igen",H23+14990+F23,H23+F23)</f>
        <v>15780</v>
      </c>
      <c r="J23" s="13">
        <f>IF(D23&gt;0,D23/30,0)</f>
        <v>0.6</v>
      </c>
      <c r="L23" s="14">
        <v>19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1</v>
      </c>
      <c r="AD23" s="14">
        <v>0</v>
      </c>
      <c r="AE23" s="14">
        <v>1</v>
      </c>
      <c r="AF23" s="14">
        <v>0</v>
      </c>
      <c r="AG23" s="14">
        <v>1</v>
      </c>
      <c r="AH23" s="14">
        <v>1</v>
      </c>
      <c r="AI23" s="14">
        <v>1</v>
      </c>
      <c r="AJ23" s="14">
        <v>1</v>
      </c>
      <c r="AK23" s="14">
        <v>0</v>
      </c>
      <c r="AL23" s="14">
        <v>1</v>
      </c>
      <c r="AM23" s="14">
        <v>0</v>
      </c>
      <c r="AN23" s="14">
        <v>0</v>
      </c>
      <c r="AO23" s="14">
        <v>1</v>
      </c>
      <c r="AP23">
        <v>1</v>
      </c>
    </row>
    <row r="24" ht="16.5">
      <c r="A24" s="16">
        <v>20</v>
      </c>
      <c r="B24" t="s" s="16">
        <v>40</v>
      </c>
      <c r="C24" s="17">
        <v>46267</v>
      </c>
      <c r="D24" s="16">
        <v>24</v>
      </c>
      <c r="E24" t="s" s="16">
        <v>20</v>
      </c>
      <c r="F24" s="18">
        <v>0</v>
      </c>
      <c r="G24" t="s" s="16">
        <v>18</v>
      </c>
      <c r="H24" s="18">
        <f>VLOOKUP(G24,$AQ$5:$AR$7,2,FALSE)</f>
        <v>0</v>
      </c>
      <c r="I24" s="18">
        <f>IF(E24="Igen",H24+14990+F24,H24+F24)</f>
        <v>0</v>
      </c>
      <c r="J24" s="19">
        <f>IF(D24&gt;0,D24/30,0)</f>
        <v>0.8</v>
      </c>
      <c r="L24" s="14">
        <v>20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1</v>
      </c>
      <c r="S24" s="14">
        <v>1</v>
      </c>
      <c r="T24" s="14">
        <v>1</v>
      </c>
      <c r="U24" s="14">
        <v>1</v>
      </c>
      <c r="V24" s="14">
        <v>0</v>
      </c>
      <c r="W24" s="14">
        <v>1</v>
      </c>
      <c r="X24" s="14">
        <v>1</v>
      </c>
      <c r="Y24" s="14">
        <v>0</v>
      </c>
      <c r="Z24" s="14">
        <v>0</v>
      </c>
      <c r="AA24" s="14">
        <v>1</v>
      </c>
      <c r="AB24" s="14">
        <v>0</v>
      </c>
      <c r="AC24" s="14">
        <v>0</v>
      </c>
      <c r="AD24" s="14">
        <v>1</v>
      </c>
      <c r="AE24" s="14">
        <v>0</v>
      </c>
      <c r="AF24" s="14">
        <v>0</v>
      </c>
      <c r="AG24" s="14">
        <v>1</v>
      </c>
      <c r="AH24" s="14">
        <v>1</v>
      </c>
      <c r="AI24" s="14">
        <v>1</v>
      </c>
      <c r="AJ24" s="14">
        <v>0</v>
      </c>
      <c r="AK24" s="14">
        <v>0</v>
      </c>
      <c r="AL24" s="14">
        <v>1</v>
      </c>
      <c r="AM24" s="14">
        <v>0</v>
      </c>
      <c r="AN24" s="14">
        <v>1</v>
      </c>
      <c r="AO24" s="14">
        <v>0</v>
      </c>
      <c r="AP24">
        <v>0</v>
      </c>
    </row>
    <row r="25" ht="16.5">
      <c r="A25" s="10">
        <v>21</v>
      </c>
      <c r="B25" t="s" s="10">
        <v>41</v>
      </c>
      <c r="C25" s="11">
        <v>46272</v>
      </c>
      <c r="D25" s="10">
        <v>23</v>
      </c>
      <c r="E25" t="s" s="10">
        <v>20</v>
      </c>
      <c r="F25" s="12">
        <v>0</v>
      </c>
      <c r="G25" t="s" s="10">
        <v>18</v>
      </c>
      <c r="H25" s="12">
        <f>VLOOKUP(G25,$AQ$5:$AR$7,2,FALSE)</f>
        <v>0</v>
      </c>
      <c r="I25" s="12">
        <f>IF(E25="Igen",H25+14990+F25,H25+F25)</f>
        <v>0</v>
      </c>
      <c r="J25" s="13">
        <f>IF(D25&gt;0,D25/30,0)</f>
        <v>0.7666666666666667</v>
      </c>
      <c r="L25" s="14">
        <v>21</v>
      </c>
      <c r="M25" s="14">
        <v>1</v>
      </c>
      <c r="N25" s="14">
        <v>0</v>
      </c>
      <c r="O25" s="14">
        <v>0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0</v>
      </c>
      <c r="V25" s="14">
        <v>0</v>
      </c>
      <c r="W25" s="14">
        <v>1</v>
      </c>
      <c r="X25" s="14">
        <v>0</v>
      </c>
      <c r="Y25" s="14">
        <v>0</v>
      </c>
      <c r="Z25" s="14">
        <v>0</v>
      </c>
      <c r="AA25" s="14">
        <v>0</v>
      </c>
      <c r="AB25" s="14">
        <v>1</v>
      </c>
      <c r="AC25" s="14">
        <v>0</v>
      </c>
      <c r="AD25" s="14">
        <v>0</v>
      </c>
      <c r="AE25" s="14">
        <v>1</v>
      </c>
      <c r="AF25" s="14">
        <v>0</v>
      </c>
      <c r="AG25" s="14">
        <v>1</v>
      </c>
      <c r="AH25" s="14">
        <v>1</v>
      </c>
      <c r="AI25" s="14">
        <v>1</v>
      </c>
      <c r="AJ25" s="14">
        <v>0</v>
      </c>
      <c r="AK25" s="14">
        <v>1</v>
      </c>
      <c r="AL25" s="14">
        <v>0</v>
      </c>
      <c r="AM25" s="14">
        <v>0</v>
      </c>
      <c r="AN25" s="14">
        <v>1</v>
      </c>
      <c r="AO25" s="14">
        <v>0</v>
      </c>
      <c r="AP25">
        <v>1</v>
      </c>
    </row>
    <row r="26" ht="16.5">
      <c r="A26" s="16">
        <v>22</v>
      </c>
      <c r="B26" t="s" s="16">
        <v>42</v>
      </c>
      <c r="C26" s="17">
        <v>46295</v>
      </c>
      <c r="D26" s="16">
        <v>19</v>
      </c>
      <c r="E26" t="s" s="16">
        <v>20</v>
      </c>
      <c r="F26" s="18">
        <v>0</v>
      </c>
      <c r="G26" t="s" s="16">
        <v>18</v>
      </c>
      <c r="H26" s="18">
        <f>VLOOKUP(G26,$AQ$5:$AR$7,2,FALSE)</f>
        <v>0</v>
      </c>
      <c r="I26" s="18">
        <f>IF(E26="Igen",H26+14990+F26,H26+F26)</f>
        <v>0</v>
      </c>
      <c r="J26" s="19">
        <f>IF(D26&gt;0,D26/30,0)</f>
        <v>0.6333333333333333</v>
      </c>
      <c r="L26" s="14">
        <v>22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1</v>
      </c>
      <c r="U26" s="14">
        <v>1</v>
      </c>
      <c r="V26" s="14">
        <v>0</v>
      </c>
      <c r="W26" s="14">
        <v>1</v>
      </c>
      <c r="X26" s="14">
        <v>0</v>
      </c>
      <c r="Y26" s="14">
        <v>0</v>
      </c>
      <c r="Z26" s="14">
        <v>1</v>
      </c>
      <c r="AA26" s="14">
        <v>1</v>
      </c>
      <c r="AB26" s="14">
        <v>0</v>
      </c>
      <c r="AC26" s="14">
        <v>1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1</v>
      </c>
      <c r="AL26" s="14">
        <v>1</v>
      </c>
      <c r="AM26" s="14">
        <v>0</v>
      </c>
      <c r="AN26" s="14">
        <v>1</v>
      </c>
      <c r="AO26" s="14">
        <v>0</v>
      </c>
      <c r="AP26">
        <v>0</v>
      </c>
    </row>
    <row r="27" ht="16.5">
      <c r="A27" s="10">
        <v>23</v>
      </c>
      <c r="B27" t="s" s="10">
        <v>43</v>
      </c>
      <c r="C27" s="11">
        <v>46299</v>
      </c>
      <c r="D27" s="10">
        <v>12</v>
      </c>
      <c r="E27" t="s" s="10">
        <v>20</v>
      </c>
      <c r="F27" s="12">
        <v>0</v>
      </c>
      <c r="G27" t="s" s="10">
        <v>18</v>
      </c>
      <c r="H27" s="12">
        <f>VLOOKUP(G27,$AQ$5:$AR$7,2,FALSE)</f>
        <v>0</v>
      </c>
      <c r="I27" s="12">
        <f>IF(E27="Igen",H27+14990+F27,H27+F27)</f>
        <v>0</v>
      </c>
      <c r="J27" s="13">
        <f>IF(D27&gt;0,D27/30,0)</f>
        <v>0.4</v>
      </c>
      <c r="L27" s="14">
        <v>23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1</v>
      </c>
      <c r="Y27" s="14">
        <v>1</v>
      </c>
      <c r="Z27" s="14">
        <v>1</v>
      </c>
      <c r="AA27" s="14">
        <v>1</v>
      </c>
      <c r="AB27" s="14">
        <v>1</v>
      </c>
      <c r="AC27" s="14">
        <v>0</v>
      </c>
      <c r="AD27" s="14">
        <v>0</v>
      </c>
      <c r="AE27" s="14">
        <v>1</v>
      </c>
      <c r="AF27" s="14">
        <v>1</v>
      </c>
      <c r="AG27" s="14">
        <v>0</v>
      </c>
      <c r="AH27" s="14">
        <v>0</v>
      </c>
      <c r="AI27" s="14">
        <v>0</v>
      </c>
      <c r="AJ27" s="14">
        <v>0</v>
      </c>
      <c r="AK27" s="14">
        <v>1</v>
      </c>
      <c r="AL27" s="14">
        <v>1</v>
      </c>
      <c r="AM27" s="14">
        <v>1</v>
      </c>
      <c r="AN27" s="14">
        <v>1</v>
      </c>
      <c r="AO27" s="14">
        <v>1</v>
      </c>
      <c r="AP27">
        <v>1</v>
      </c>
    </row>
    <row r="28" ht="16.5">
      <c r="A28" s="16">
        <v>24</v>
      </c>
      <c r="B28" t="s" s="16">
        <v>44</v>
      </c>
      <c r="C28" s="17">
        <v>46300</v>
      </c>
      <c r="D28" s="16">
        <v>5</v>
      </c>
      <c r="E28" t="s" s="16">
        <v>17</v>
      </c>
      <c r="F28" s="18">
        <v>0</v>
      </c>
      <c r="G28" t="s" s="16">
        <v>21</v>
      </c>
      <c r="H28" s="18">
        <f>VLOOKUP(G28,$AQ$5:$AR$7,2,FALSE)</f>
        <v>790</v>
      </c>
      <c r="I28" s="18">
        <f>IF(E28="Igen",H28+14990+F28,H28+F28)</f>
        <v>15780</v>
      </c>
      <c r="J28" s="19">
        <f>IF(D28&gt;0,D28/30,0)</f>
        <v>0.16666666666666666</v>
      </c>
      <c r="L28" s="14">
        <v>24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</v>
      </c>
      <c r="AH28" s="14">
        <v>0</v>
      </c>
      <c r="AI28" s="14">
        <v>0</v>
      </c>
      <c r="AJ28" s="14">
        <v>0</v>
      </c>
      <c r="AK28" s="14">
        <v>0</v>
      </c>
      <c r="AL28" s="14">
        <v>1</v>
      </c>
      <c r="AM28" s="14">
        <v>0</v>
      </c>
      <c r="AN28" s="14">
        <v>1</v>
      </c>
      <c r="AO28" s="14">
        <v>0</v>
      </c>
      <c r="AP28">
        <v>0</v>
      </c>
    </row>
    <row r="29" ht="16.5">
      <c r="A29" s="10">
        <v>25</v>
      </c>
      <c r="B29" t="s" s="10">
        <v>45</v>
      </c>
      <c r="C29" s="11">
        <v>46285</v>
      </c>
      <c r="D29" s="10">
        <v>3</v>
      </c>
      <c r="E29" t="s" s="10">
        <v>20</v>
      </c>
      <c r="F29" s="12">
        <v>790</v>
      </c>
      <c r="G29" t="s" s="10">
        <v>18</v>
      </c>
      <c r="H29" s="12">
        <f>VLOOKUP(G29,$AQ$5:$AR$7,2,FALSE)</f>
        <v>0</v>
      </c>
      <c r="I29" s="12">
        <f>IF(E29="Igen",H29+14990+F29,H29+F29)</f>
        <v>790</v>
      </c>
      <c r="J29" s="13">
        <f>IF(D29&gt;0,D29/30,0)</f>
        <v>0.1</v>
      </c>
      <c r="L29" s="14">
        <v>25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1</v>
      </c>
      <c r="AE29" s="14">
        <v>1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>
        <v>0</v>
      </c>
    </row>
    <row r="30" ht="16.5">
      <c r="A30" s="16">
        <v>26</v>
      </c>
      <c r="B30" t="s" s="16">
        <v>46</v>
      </c>
      <c r="C30" s="17">
        <v>46308</v>
      </c>
      <c r="D30" s="16">
        <v>26</v>
      </c>
      <c r="E30" t="s" s="16">
        <v>20</v>
      </c>
      <c r="F30" s="18">
        <v>0</v>
      </c>
      <c r="G30" t="s" s="16">
        <v>18</v>
      </c>
      <c r="H30" s="18">
        <f>VLOOKUP(G30,$AQ$5:$AR$7,2,FALSE)</f>
        <v>0</v>
      </c>
      <c r="I30" s="18">
        <f>IF(E30="Igen",H30+14990+F30,H30+F30)</f>
        <v>0</v>
      </c>
      <c r="J30" s="19">
        <f>IF(D30&gt;0,D30/30,0)</f>
        <v>0.8666666666666667</v>
      </c>
      <c r="L30" s="14">
        <v>26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1</v>
      </c>
      <c r="AJ30" s="14">
        <v>1</v>
      </c>
      <c r="AK30" s="14">
        <v>1</v>
      </c>
      <c r="AL30" s="14">
        <v>0</v>
      </c>
      <c r="AM30" s="14">
        <v>1</v>
      </c>
      <c r="AN30" s="14">
        <v>1</v>
      </c>
      <c r="AO30" s="14">
        <v>1</v>
      </c>
      <c r="AP30">
        <v>0</v>
      </c>
    </row>
    <row r="31" ht="16.5">
      <c r="A31" s="10">
        <v>27</v>
      </c>
      <c r="B31" t="s" s="10">
        <v>47</v>
      </c>
      <c r="C31" s="11">
        <v>46310</v>
      </c>
      <c r="D31" s="10">
        <v>13</v>
      </c>
      <c r="E31" t="s" s="10">
        <v>20</v>
      </c>
      <c r="F31" s="12">
        <v>0</v>
      </c>
      <c r="G31" t="s" s="10">
        <v>18</v>
      </c>
      <c r="H31" s="12">
        <f>VLOOKUP(G31,$AQ$5:$AR$7,2,FALSE)</f>
        <v>0</v>
      </c>
      <c r="I31" s="12">
        <f>IF(E31="Igen",H31+14990+F31,H31+F31)</f>
        <v>0</v>
      </c>
      <c r="J31" s="13">
        <f>IF(D31&gt;0,D31/30,0)</f>
        <v>0.43333333333333335</v>
      </c>
      <c r="L31" s="14">
        <v>27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1</v>
      </c>
      <c r="AI31" s="14">
        <v>1</v>
      </c>
      <c r="AJ31" s="14">
        <v>0</v>
      </c>
      <c r="AK31" s="14">
        <v>0</v>
      </c>
      <c r="AL31" s="14">
        <v>1</v>
      </c>
      <c r="AM31" s="14">
        <v>1</v>
      </c>
      <c r="AN31" s="14">
        <v>0</v>
      </c>
      <c r="AO31" s="14">
        <v>0</v>
      </c>
      <c r="AP31">
        <v>0</v>
      </c>
    </row>
    <row r="32" ht="16.5">
      <c r="A32" s="16">
        <v>28</v>
      </c>
      <c r="B32" t="s" s="16">
        <v>48</v>
      </c>
      <c r="C32" s="17">
        <v>46267</v>
      </c>
      <c r="D32" s="16">
        <v>25</v>
      </c>
      <c r="E32" t="s" s="16">
        <v>20</v>
      </c>
      <c r="F32" s="18">
        <v>0</v>
      </c>
      <c r="G32" t="s" s="16">
        <v>18</v>
      </c>
      <c r="H32" s="18">
        <f>VLOOKUP(G32,$AQ$5:$AR$7,2,FALSE)</f>
        <v>0</v>
      </c>
      <c r="I32" s="18">
        <f>IF(E32="Igen",H32+14990+F32,H32+F32)</f>
        <v>0</v>
      </c>
      <c r="J32" s="19">
        <f>IF(D32&gt;0,D32/30,0)</f>
        <v>0.8333333333333334</v>
      </c>
      <c r="L32" s="14">
        <v>28</v>
      </c>
      <c r="M32" s="14">
        <v>1</v>
      </c>
      <c r="N32" s="14">
        <v>1</v>
      </c>
      <c r="O32" s="14">
        <v>1</v>
      </c>
      <c r="P32" s="14">
        <v>1</v>
      </c>
      <c r="Q32" s="14">
        <v>0</v>
      </c>
      <c r="R32" s="14">
        <v>1</v>
      </c>
      <c r="S32" s="14">
        <v>0</v>
      </c>
      <c r="T32" s="14">
        <v>0</v>
      </c>
      <c r="U32" s="14">
        <v>1</v>
      </c>
      <c r="V32" s="14">
        <v>1</v>
      </c>
      <c r="W32" s="14">
        <v>1</v>
      </c>
      <c r="X32" s="14">
        <v>1</v>
      </c>
      <c r="Y32" s="14">
        <v>1</v>
      </c>
      <c r="Z32" s="14">
        <v>1</v>
      </c>
      <c r="AA32" s="14">
        <v>1</v>
      </c>
      <c r="AB32" s="14">
        <v>0</v>
      </c>
      <c r="AC32" s="14">
        <v>1</v>
      </c>
      <c r="AD32" s="14">
        <v>0</v>
      </c>
      <c r="AE32" s="14">
        <v>1</v>
      </c>
      <c r="AF32" s="14">
        <v>1</v>
      </c>
      <c r="AG32" s="14">
        <v>1</v>
      </c>
      <c r="AH32" s="14">
        <v>1</v>
      </c>
      <c r="AI32" s="14">
        <v>0</v>
      </c>
      <c r="AJ32" s="14">
        <v>0</v>
      </c>
      <c r="AK32" s="14">
        <v>0</v>
      </c>
      <c r="AL32" s="14">
        <v>1</v>
      </c>
      <c r="AM32" s="14">
        <v>0</v>
      </c>
      <c r="AN32" s="14">
        <v>1</v>
      </c>
      <c r="AO32" s="14">
        <v>1</v>
      </c>
      <c r="AP32">
        <v>1</v>
      </c>
    </row>
    <row r="33" ht="16.5">
      <c r="A33" s="10">
        <v>29</v>
      </c>
      <c r="B33" t="s" s="10">
        <v>49</v>
      </c>
      <c r="C33" s="11">
        <v>46305</v>
      </c>
      <c r="D33" s="10">
        <v>25</v>
      </c>
      <c r="E33" t="s" s="10">
        <v>20</v>
      </c>
      <c r="F33" s="12">
        <v>0</v>
      </c>
      <c r="G33" t="s" s="10">
        <v>18</v>
      </c>
      <c r="H33" s="12">
        <f>VLOOKUP(G33,$AQ$5:$AR$7,2,FALSE)</f>
        <v>0</v>
      </c>
      <c r="I33" s="12">
        <f>IF(E33="Igen",H33+14990+F33,H33+F33)</f>
        <v>0</v>
      </c>
      <c r="J33" s="13">
        <f>IF(D33&gt;0,D33/30,0)</f>
        <v>0.8333333333333334</v>
      </c>
      <c r="L33" s="14">
        <v>29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1</v>
      </c>
      <c r="AD33" s="14">
        <v>1</v>
      </c>
      <c r="AE33" s="14">
        <v>1</v>
      </c>
      <c r="AF33" s="14">
        <v>0</v>
      </c>
      <c r="AG33" s="14">
        <v>1</v>
      </c>
      <c r="AH33" s="14">
        <v>1</v>
      </c>
      <c r="AI33" s="14">
        <v>0</v>
      </c>
      <c r="AJ33" s="14">
        <v>0</v>
      </c>
      <c r="AK33" s="14">
        <v>0</v>
      </c>
      <c r="AL33" s="14">
        <v>1</v>
      </c>
      <c r="AM33" s="14">
        <v>1</v>
      </c>
      <c r="AN33" s="14">
        <v>1</v>
      </c>
      <c r="AO33" s="14">
        <v>1</v>
      </c>
      <c r="AP33">
        <v>0</v>
      </c>
    </row>
    <row r="34" ht="16.5">
      <c r="A34" s="16">
        <v>30</v>
      </c>
      <c r="B34" t="s" s="16">
        <v>50</v>
      </c>
      <c r="C34" s="17">
        <v>46273</v>
      </c>
      <c r="D34" s="16">
        <v>15</v>
      </c>
      <c r="E34" t="s" s="16">
        <v>20</v>
      </c>
      <c r="F34" s="18">
        <v>0</v>
      </c>
      <c r="G34" t="s" s="16">
        <v>18</v>
      </c>
      <c r="H34" s="18">
        <f>VLOOKUP(G34,$AQ$5:$AR$7,2,FALSE)</f>
        <v>0</v>
      </c>
      <c r="I34" s="18">
        <f>IF(E34="Igen",H34+14990+F34,H34+F34)</f>
        <v>0</v>
      </c>
      <c r="J34" s="19">
        <f>IF(D34&gt;0,D34/30,0)</f>
        <v>0.5</v>
      </c>
      <c r="L34" s="14">
        <v>30</v>
      </c>
      <c r="M34" s="14">
        <v>0</v>
      </c>
      <c r="N34" s="14">
        <v>1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1</v>
      </c>
      <c r="U34" s="14">
        <v>1</v>
      </c>
      <c r="V34" s="14">
        <v>0</v>
      </c>
      <c r="W34" s="14">
        <v>0</v>
      </c>
      <c r="X34" s="14">
        <v>1</v>
      </c>
      <c r="Y34" s="14">
        <v>1</v>
      </c>
      <c r="Z34" s="14">
        <v>0</v>
      </c>
      <c r="AA34" s="14">
        <v>0</v>
      </c>
      <c r="AB34" s="14">
        <v>1</v>
      </c>
      <c r="AC34" s="14">
        <v>0</v>
      </c>
      <c r="AD34" s="14">
        <v>1</v>
      </c>
      <c r="AE34" s="14">
        <v>1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</v>
      </c>
      <c r="AN34" s="14">
        <v>0</v>
      </c>
      <c r="AO34" s="14">
        <v>0</v>
      </c>
      <c r="AP34">
        <v>0</v>
      </c>
    </row>
    <row r="35" ht="16.5">
      <c r="A35" s="10">
        <v>31</v>
      </c>
      <c r="B35" t="s" s="10">
        <v>51</v>
      </c>
      <c r="C35" s="11">
        <v>46278</v>
      </c>
      <c r="D35" s="10">
        <v>23</v>
      </c>
      <c r="E35" t="s" s="10">
        <v>17</v>
      </c>
      <c r="F35" s="12">
        <v>0</v>
      </c>
      <c r="G35" t="s" s="10">
        <v>23</v>
      </c>
      <c r="H35" s="12">
        <f>VLOOKUP(G35,$AQ$5:$AR$7,2,FALSE)</f>
        <v>1490</v>
      </c>
      <c r="I35" s="12">
        <f>IF(E35="Igen",H35+14990+F35,H35+F35)</f>
        <v>16480</v>
      </c>
      <c r="J35" s="13">
        <f>IF(D35&gt;0,D35/30,0)</f>
        <v>0.7666666666666667</v>
      </c>
      <c r="L35" s="14">
        <v>31</v>
      </c>
      <c r="M35" s="14">
        <v>1</v>
      </c>
      <c r="N35" s="14">
        <v>1</v>
      </c>
      <c r="O35" s="14">
        <v>1</v>
      </c>
      <c r="P35" s="14">
        <v>0</v>
      </c>
      <c r="Q35" s="14">
        <v>1</v>
      </c>
      <c r="R35" s="14">
        <v>0</v>
      </c>
      <c r="S35" s="14">
        <v>0</v>
      </c>
      <c r="T35" s="14">
        <v>0</v>
      </c>
      <c r="U35" s="14">
        <v>1</v>
      </c>
      <c r="V35" s="14">
        <v>0</v>
      </c>
      <c r="W35" s="14">
        <v>1</v>
      </c>
      <c r="X35" s="14">
        <v>0</v>
      </c>
      <c r="Y35" s="14">
        <v>1</v>
      </c>
      <c r="Z35" s="14">
        <v>1</v>
      </c>
      <c r="AA35" s="14">
        <v>0</v>
      </c>
      <c r="AB35" s="14">
        <v>1</v>
      </c>
      <c r="AC35" s="14">
        <v>0</v>
      </c>
      <c r="AD35" s="14">
        <v>1</v>
      </c>
      <c r="AE35" s="14">
        <v>1</v>
      </c>
      <c r="AF35" s="14">
        <v>0</v>
      </c>
      <c r="AG35" s="14">
        <v>0</v>
      </c>
      <c r="AH35" s="14">
        <v>1</v>
      </c>
      <c r="AI35" s="14">
        <v>0</v>
      </c>
      <c r="AJ35" s="14">
        <v>1</v>
      </c>
      <c r="AK35" s="14">
        <v>0</v>
      </c>
      <c r="AL35" s="14">
        <v>1</v>
      </c>
      <c r="AM35" s="14">
        <v>1</v>
      </c>
      <c r="AN35" s="14">
        <v>1</v>
      </c>
      <c r="AO35" s="14">
        <v>0</v>
      </c>
      <c r="AP35">
        <v>1</v>
      </c>
    </row>
    <row r="36" ht="16.5">
      <c r="A36" s="16">
        <v>32</v>
      </c>
      <c r="B36" t="s" s="16">
        <v>52</v>
      </c>
      <c r="C36" s="17">
        <v>46286</v>
      </c>
      <c r="D36" s="16">
        <v>21</v>
      </c>
      <c r="E36" t="s" s="16">
        <v>20</v>
      </c>
      <c r="F36" s="18">
        <v>0</v>
      </c>
      <c r="G36" t="s" s="16">
        <v>18</v>
      </c>
      <c r="H36" s="18">
        <f>VLOOKUP(G36,$AQ$5:$AR$7,2,FALSE)</f>
        <v>0</v>
      </c>
      <c r="I36" s="18">
        <f>IF(E36="Igen",H36+14990+F36,H36+F36)</f>
        <v>0</v>
      </c>
      <c r="J36" s="19">
        <f>IF(D36&gt;0,D36/30,0)</f>
        <v>0.7</v>
      </c>
      <c r="L36" s="14">
        <v>32</v>
      </c>
      <c r="M36" s="14">
        <v>1</v>
      </c>
      <c r="N36" s="14">
        <v>1</v>
      </c>
      <c r="O36" s="14">
        <v>0</v>
      </c>
      <c r="P36" s="14">
        <v>0</v>
      </c>
      <c r="Q36" s="14">
        <v>0</v>
      </c>
      <c r="R36" s="14">
        <v>0</v>
      </c>
      <c r="S36" s="14">
        <v>1</v>
      </c>
      <c r="T36" s="14">
        <v>1</v>
      </c>
      <c r="U36" s="14">
        <v>0</v>
      </c>
      <c r="V36" s="14">
        <v>0</v>
      </c>
      <c r="W36" s="14">
        <v>1</v>
      </c>
      <c r="X36" s="14">
        <v>0</v>
      </c>
      <c r="Y36" s="14">
        <v>0</v>
      </c>
      <c r="Z36" s="14">
        <v>1</v>
      </c>
      <c r="AA36" s="14">
        <v>0</v>
      </c>
      <c r="AB36" s="14">
        <v>1</v>
      </c>
      <c r="AC36" s="14">
        <v>1</v>
      </c>
      <c r="AD36" s="14">
        <v>1</v>
      </c>
      <c r="AE36" s="14">
        <v>0</v>
      </c>
      <c r="AF36" s="14">
        <v>0</v>
      </c>
      <c r="AG36" s="14">
        <v>0</v>
      </c>
      <c r="AH36" s="14">
        <v>1</v>
      </c>
      <c r="AI36" s="14">
        <v>1</v>
      </c>
      <c r="AJ36" s="14">
        <v>0</v>
      </c>
      <c r="AK36" s="14">
        <v>0</v>
      </c>
      <c r="AL36" s="14">
        <v>1</v>
      </c>
      <c r="AM36" s="14">
        <v>0</v>
      </c>
      <c r="AN36" s="14">
        <v>1</v>
      </c>
      <c r="AO36" s="14">
        <v>1</v>
      </c>
      <c r="AP36">
        <v>1</v>
      </c>
    </row>
    <row r="37" ht="16.5">
      <c r="A37" s="10">
        <v>33</v>
      </c>
      <c r="B37" t="s" s="10">
        <v>53</v>
      </c>
      <c r="C37" s="11">
        <v>46282</v>
      </c>
      <c r="D37" s="10">
        <v>22</v>
      </c>
      <c r="E37" t="s" s="10">
        <v>17</v>
      </c>
      <c r="F37" s="12">
        <v>0</v>
      </c>
      <c r="G37" t="s" s="10">
        <v>23</v>
      </c>
      <c r="H37" s="12">
        <f>VLOOKUP(G37,$AQ$5:$AR$7,2,FALSE)</f>
        <v>1490</v>
      </c>
      <c r="I37" s="12">
        <f>IF(E37="Igen",H37+14990+F37,H37+F37)</f>
        <v>16480</v>
      </c>
      <c r="J37" s="13">
        <f>IF(D37&gt;0,D37/30,0)</f>
        <v>0.7333333333333333</v>
      </c>
      <c r="L37" s="14">
        <v>33</v>
      </c>
      <c r="M37" s="14">
        <v>0</v>
      </c>
      <c r="N37" s="14">
        <v>1</v>
      </c>
      <c r="O37" s="14">
        <v>1</v>
      </c>
      <c r="P37" s="14">
        <v>1</v>
      </c>
      <c r="Q37" s="14">
        <v>0</v>
      </c>
      <c r="R37" s="14">
        <v>0</v>
      </c>
      <c r="S37" s="14">
        <v>1</v>
      </c>
      <c r="T37" s="14">
        <v>1</v>
      </c>
      <c r="U37" s="14">
        <v>0</v>
      </c>
      <c r="V37" s="14">
        <v>1</v>
      </c>
      <c r="W37" s="14">
        <v>1</v>
      </c>
      <c r="X37" s="14">
        <v>1</v>
      </c>
      <c r="Y37" s="14">
        <v>1</v>
      </c>
      <c r="Z37" s="14">
        <v>0</v>
      </c>
      <c r="AA37" s="14">
        <v>0</v>
      </c>
      <c r="AB37" s="14">
        <v>0</v>
      </c>
      <c r="AC37" s="14">
        <v>1</v>
      </c>
      <c r="AD37" s="14">
        <v>0</v>
      </c>
      <c r="AE37" s="14">
        <v>0</v>
      </c>
      <c r="AF37" s="14">
        <v>1</v>
      </c>
      <c r="AG37" s="14">
        <v>0</v>
      </c>
      <c r="AH37" s="14">
        <v>0</v>
      </c>
      <c r="AI37" s="14">
        <v>0</v>
      </c>
      <c r="AJ37" s="14">
        <v>1</v>
      </c>
      <c r="AK37" s="14">
        <v>0</v>
      </c>
      <c r="AL37" s="14">
        <v>1</v>
      </c>
      <c r="AM37" s="14">
        <v>0</v>
      </c>
      <c r="AN37" s="14">
        <v>1</v>
      </c>
      <c r="AO37" s="14">
        <v>0</v>
      </c>
      <c r="AP37">
        <v>0</v>
      </c>
    </row>
    <row r="38" ht="16.5">
      <c r="A38" s="16">
        <v>34</v>
      </c>
      <c r="B38" t="s" s="16">
        <v>54</v>
      </c>
      <c r="C38" s="17">
        <v>46288</v>
      </c>
      <c r="D38" s="16">
        <v>8</v>
      </c>
      <c r="E38" t="s" s="16">
        <v>20</v>
      </c>
      <c r="F38" s="18">
        <v>0</v>
      </c>
      <c r="G38" t="s" s="16">
        <v>18</v>
      </c>
      <c r="H38" s="18">
        <f>VLOOKUP(G38,$AQ$5:$AR$7,2,FALSE)</f>
        <v>0</v>
      </c>
      <c r="I38" s="18">
        <f>IF(E38="Igen",H38+14990+F38,H38+F38)</f>
        <v>0</v>
      </c>
      <c r="J38" s="19">
        <f>IF(D38&gt;0,D38/30,0)</f>
        <v>0.26666666666666666</v>
      </c>
      <c r="L38" s="14">
        <v>34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1</v>
      </c>
      <c r="X38" s="14">
        <v>0</v>
      </c>
      <c r="Y38" s="14">
        <v>0</v>
      </c>
      <c r="Z38" s="14">
        <v>1</v>
      </c>
      <c r="AA38" s="14">
        <v>1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1</v>
      </c>
      <c r="AN38" s="14">
        <v>0</v>
      </c>
      <c r="AO38" s="14">
        <v>1</v>
      </c>
      <c r="AP38">
        <v>0</v>
      </c>
    </row>
    <row r="39" ht="16.5">
      <c r="A39" s="10">
        <v>35</v>
      </c>
      <c r="B39" t="s" s="10">
        <v>55</v>
      </c>
      <c r="C39" s="11">
        <v>46309</v>
      </c>
      <c r="D39" s="10">
        <v>24</v>
      </c>
      <c r="E39" t="s" s="10">
        <v>20</v>
      </c>
      <c r="F39" s="12">
        <v>0</v>
      </c>
      <c r="G39" t="s" s="10">
        <v>18</v>
      </c>
      <c r="H39" s="12">
        <f>VLOOKUP(G39,$AQ$5:$AR$7,2,FALSE)</f>
        <v>0</v>
      </c>
      <c r="I39" s="12">
        <f>IF(E39="Igen",H39+14990+F39,H39+F39)</f>
        <v>0</v>
      </c>
      <c r="J39" s="13">
        <f>IF(D39&gt;0,D39/30,0)</f>
        <v>0.8</v>
      </c>
      <c r="L39" s="14">
        <v>35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0</v>
      </c>
      <c r="AN39" s="14">
        <v>1</v>
      </c>
      <c r="AO39" s="14">
        <v>1</v>
      </c>
      <c r="AP39">
        <v>0</v>
      </c>
    </row>
    <row r="40" ht="16.5">
      <c r="A40" s="16">
        <v>36</v>
      </c>
      <c r="B40" t="s" s="16">
        <v>56</v>
      </c>
      <c r="C40" s="17">
        <v>46289</v>
      </c>
      <c r="D40" s="16">
        <v>4</v>
      </c>
      <c r="E40" t="s" s="16">
        <v>20</v>
      </c>
      <c r="F40" s="18">
        <v>0</v>
      </c>
      <c r="G40" t="s" s="16">
        <v>18</v>
      </c>
      <c r="H40" s="18">
        <f>VLOOKUP(G40,$AQ$5:$AR$7,2,FALSE)</f>
        <v>0</v>
      </c>
      <c r="I40" s="18">
        <f>IF(E40="Igen",H40+14990+F40,H40+F40)</f>
        <v>0</v>
      </c>
      <c r="J40" s="19">
        <f>IF(D40&gt;0,D40/30,0)</f>
        <v>0.13333333333333333</v>
      </c>
      <c r="L40" s="14">
        <v>36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1</v>
      </c>
      <c r="W40" s="14">
        <v>1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>
        <v>0</v>
      </c>
    </row>
    <row r="41" ht="16.5">
      <c r="A41" s="10">
        <v>37</v>
      </c>
      <c r="B41" t="s" s="10">
        <v>57</v>
      </c>
      <c r="C41" s="11">
        <v>46294</v>
      </c>
      <c r="D41" s="10">
        <v>8</v>
      </c>
      <c r="E41" t="s" s="10">
        <v>20</v>
      </c>
      <c r="F41" s="12">
        <v>590</v>
      </c>
      <c r="G41" t="s" s="10">
        <v>18</v>
      </c>
      <c r="H41" s="12">
        <f>VLOOKUP(G41,$AQ$5:$AR$7,2,FALSE)</f>
        <v>0</v>
      </c>
      <c r="I41" s="12">
        <f>IF(E41="Igen",H41+14990+F41,H41+F41)</f>
        <v>590</v>
      </c>
      <c r="J41" s="13">
        <f>IF(D41&gt;0,D41/30,0)</f>
        <v>0.26666666666666666</v>
      </c>
      <c r="L41" s="14">
        <v>37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1</v>
      </c>
      <c r="V41" s="14">
        <v>1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1</v>
      </c>
      <c r="AC41" s="14">
        <v>0</v>
      </c>
      <c r="AD41" s="14">
        <v>0</v>
      </c>
      <c r="AE41" s="14">
        <v>1</v>
      </c>
      <c r="AF41" s="14">
        <v>0</v>
      </c>
      <c r="AG41" s="14">
        <v>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1</v>
      </c>
      <c r="AN41" s="14">
        <v>0</v>
      </c>
      <c r="AO41" s="14">
        <v>1</v>
      </c>
      <c r="AP41">
        <v>0</v>
      </c>
    </row>
    <row r="42" ht="16.5">
      <c r="A42" s="16">
        <v>38</v>
      </c>
      <c r="B42" t="s" s="16">
        <v>58</v>
      </c>
      <c r="C42" s="17">
        <v>46275</v>
      </c>
      <c r="D42" s="16">
        <v>5</v>
      </c>
      <c r="E42" t="s" s="16">
        <v>20</v>
      </c>
      <c r="F42" s="18">
        <v>0</v>
      </c>
      <c r="G42" t="s" s="16">
        <v>18</v>
      </c>
      <c r="H42" s="18">
        <f>VLOOKUP(G42,$AQ$5:$AR$7,2,FALSE)</f>
        <v>0</v>
      </c>
      <c r="I42" s="18">
        <f>IF(E42="Igen",H42+14990+F42,H42+F42)</f>
        <v>0</v>
      </c>
      <c r="J42" s="19">
        <f>IF(D42&gt;0,D42/30,0)</f>
        <v>0.16666666666666666</v>
      </c>
      <c r="L42" s="14">
        <v>38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1</v>
      </c>
      <c r="S42" s="14">
        <v>0</v>
      </c>
      <c r="T42" s="14">
        <v>0</v>
      </c>
      <c r="U42" s="14">
        <v>0</v>
      </c>
      <c r="V42" s="14">
        <v>1</v>
      </c>
      <c r="W42" s="14">
        <v>1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1</v>
      </c>
      <c r="AJ42" s="14">
        <v>0</v>
      </c>
      <c r="AK42" s="14">
        <v>0</v>
      </c>
      <c r="AL42" s="14">
        <v>0</v>
      </c>
      <c r="AM42" s="14">
        <v>1</v>
      </c>
      <c r="AN42" s="14">
        <v>0</v>
      </c>
      <c r="AO42" s="14">
        <v>0</v>
      </c>
      <c r="AP42">
        <v>0</v>
      </c>
    </row>
    <row r="43" ht="16.5">
      <c r="A43" s="10">
        <v>39</v>
      </c>
      <c r="B43" t="s" s="10">
        <v>59</v>
      </c>
      <c r="C43" s="11">
        <v>46286</v>
      </c>
      <c r="D43" s="10">
        <v>20</v>
      </c>
      <c r="E43" t="s" s="10">
        <v>17</v>
      </c>
      <c r="F43" s="12">
        <v>990</v>
      </c>
      <c r="G43" t="s" s="10">
        <v>21</v>
      </c>
      <c r="H43" s="12">
        <f>VLOOKUP(G43,$AQ$5:$AR$7,2,FALSE)</f>
        <v>790</v>
      </c>
      <c r="I43" s="12">
        <f>IF(E43="Igen",H43+14990+F43,H43+F43)</f>
        <v>16770</v>
      </c>
      <c r="J43" s="13">
        <f>IF(D43&gt;0,D43/30,0)</f>
        <v>0.6666666666666666</v>
      </c>
      <c r="L43" s="14">
        <v>39</v>
      </c>
      <c r="M43" s="14">
        <v>0</v>
      </c>
      <c r="N43" s="14">
        <v>1</v>
      </c>
      <c r="O43" s="14">
        <v>0</v>
      </c>
      <c r="P43" s="14">
        <v>0</v>
      </c>
      <c r="Q43" s="14">
        <v>1</v>
      </c>
      <c r="R43" s="14">
        <v>0</v>
      </c>
      <c r="S43" s="14">
        <v>1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  <c r="AG43" s="14">
        <v>0</v>
      </c>
      <c r="AH43" s="14">
        <v>1</v>
      </c>
      <c r="AI43" s="14">
        <v>1</v>
      </c>
      <c r="AJ43" s="14">
        <v>0</v>
      </c>
      <c r="AK43" s="14">
        <v>1</v>
      </c>
      <c r="AL43" s="14">
        <v>0</v>
      </c>
      <c r="AM43" s="14">
        <v>1</v>
      </c>
      <c r="AN43" s="14">
        <v>1</v>
      </c>
      <c r="AO43" s="14">
        <v>0</v>
      </c>
      <c r="AP43">
        <v>0</v>
      </c>
    </row>
    <row r="44" ht="16.5">
      <c r="A44" s="16">
        <v>40</v>
      </c>
      <c r="B44" t="s" s="16">
        <v>60</v>
      </c>
      <c r="C44" s="17">
        <v>46301</v>
      </c>
      <c r="D44" s="16">
        <v>2</v>
      </c>
      <c r="E44" t="s" s="16">
        <v>20</v>
      </c>
      <c r="F44" s="18">
        <v>0</v>
      </c>
      <c r="G44" t="s" s="16">
        <v>18</v>
      </c>
      <c r="H44" s="18">
        <f>VLOOKUP(G44,$AQ$5:$AR$7,2,FALSE)</f>
        <v>0</v>
      </c>
      <c r="I44" s="18">
        <f>IF(E44="Igen",H44+14990+F44,H44+F44)</f>
        <v>0</v>
      </c>
      <c r="J44" s="19">
        <f>IF(D44&gt;0,D44/30,0)</f>
        <v>0.06666666666666667</v>
      </c>
      <c r="L44" s="14">
        <v>40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>
        <v>0</v>
      </c>
    </row>
    <row r="45" ht="16.5">
      <c r="A45" s="10">
        <v>41</v>
      </c>
      <c r="B45" t="s" s="10">
        <v>61</v>
      </c>
      <c r="C45" s="11">
        <v>46317</v>
      </c>
      <c r="D45" s="10">
        <v>14</v>
      </c>
      <c r="E45" t="s" s="10">
        <v>20</v>
      </c>
      <c r="F45" s="12">
        <v>0</v>
      </c>
      <c r="G45" t="s" s="10">
        <v>18</v>
      </c>
      <c r="H45" s="12">
        <f>VLOOKUP(G45,$AQ$5:$AR$7,2,FALSE)</f>
        <v>0</v>
      </c>
      <c r="I45" s="12">
        <f>IF(E45="Igen",H45+14990+F45,H45+F45)</f>
        <v>0</v>
      </c>
      <c r="J45" s="13">
        <f>IF(D45&gt;0,D45/30,0)</f>
        <v>0.4666666666666667</v>
      </c>
      <c r="L45" s="14">
        <v>41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>
        <v>0</v>
      </c>
    </row>
    <row r="46" ht="16.5">
      <c r="A46" s="16">
        <v>42</v>
      </c>
      <c r="B46" t="s" s="16">
        <v>62</v>
      </c>
      <c r="C46" s="17">
        <v>46267</v>
      </c>
      <c r="D46" s="16">
        <v>20</v>
      </c>
      <c r="E46" t="s" s="16">
        <v>20</v>
      </c>
      <c r="F46" s="18">
        <v>0</v>
      </c>
      <c r="G46" t="s" s="16">
        <v>18</v>
      </c>
      <c r="H46" s="18">
        <f>VLOOKUP(G46,$AQ$5:$AR$7,2,FALSE)</f>
        <v>0</v>
      </c>
      <c r="I46" s="18">
        <f>IF(E46="Igen",H46+14990+F46,H46+F46)</f>
        <v>0</v>
      </c>
      <c r="J46" s="19">
        <f>IF(D46&gt;0,D46/30,0)</f>
        <v>0.6666666666666666</v>
      </c>
      <c r="L46" s="14">
        <v>42</v>
      </c>
      <c r="M46" s="14">
        <v>1</v>
      </c>
      <c r="N46" s="14">
        <v>0</v>
      </c>
      <c r="O46" s="14">
        <v>1</v>
      </c>
      <c r="P46" s="14">
        <v>1</v>
      </c>
      <c r="Q46" s="14">
        <v>1</v>
      </c>
      <c r="R46" s="14">
        <v>0</v>
      </c>
      <c r="S46" s="14">
        <v>0</v>
      </c>
      <c r="T46" s="14">
        <v>1</v>
      </c>
      <c r="U46" s="14">
        <v>1</v>
      </c>
      <c r="V46" s="14">
        <v>0</v>
      </c>
      <c r="W46" s="14">
        <v>1</v>
      </c>
      <c r="X46" s="14">
        <v>0</v>
      </c>
      <c r="Y46" s="14">
        <v>1</v>
      </c>
      <c r="Z46" s="14">
        <v>1</v>
      </c>
      <c r="AA46" s="14">
        <v>1</v>
      </c>
      <c r="AB46" s="14">
        <v>1</v>
      </c>
      <c r="AC46" s="14">
        <v>0</v>
      </c>
      <c r="AD46" s="14">
        <v>0</v>
      </c>
      <c r="AE46" s="14">
        <v>0</v>
      </c>
      <c r="AF46" s="14">
        <v>1</v>
      </c>
      <c r="AG46" s="14">
        <v>1</v>
      </c>
      <c r="AH46" s="14">
        <v>1</v>
      </c>
      <c r="AI46" s="14">
        <v>0</v>
      </c>
      <c r="AJ46" s="14">
        <v>0</v>
      </c>
      <c r="AK46" s="14">
        <v>1</v>
      </c>
      <c r="AL46" s="14">
        <v>0</v>
      </c>
      <c r="AM46" s="14">
        <v>0</v>
      </c>
      <c r="AN46" s="14">
        <v>1</v>
      </c>
      <c r="AO46" s="14">
        <v>1</v>
      </c>
      <c r="AP46">
        <v>0</v>
      </c>
    </row>
    <row r="47" ht="16.5">
      <c r="A47" s="10">
        <v>43</v>
      </c>
      <c r="B47" t="s" s="10">
        <v>63</v>
      </c>
      <c r="C47" s="11">
        <v>46273</v>
      </c>
      <c r="D47" s="10">
        <v>12</v>
      </c>
      <c r="E47" t="s" s="10">
        <v>20</v>
      </c>
      <c r="F47" s="12">
        <v>990</v>
      </c>
      <c r="G47" t="s" s="10">
        <v>18</v>
      </c>
      <c r="H47" s="12">
        <f>VLOOKUP(G47,$AQ$5:$AR$7,2,FALSE)</f>
        <v>0</v>
      </c>
      <c r="I47" s="12">
        <f>IF(E47="Igen",H47+14990+F47,H47+F47)</f>
        <v>990</v>
      </c>
      <c r="J47" s="13">
        <f>IF(D47&gt;0,D47/30,0)</f>
        <v>0.4</v>
      </c>
      <c r="L47" s="14">
        <v>43</v>
      </c>
      <c r="M47" s="14">
        <v>0</v>
      </c>
      <c r="N47" s="14">
        <v>1</v>
      </c>
      <c r="O47" s="14">
        <v>0</v>
      </c>
      <c r="P47" s="14">
        <v>0</v>
      </c>
      <c r="Q47" s="14">
        <v>1</v>
      </c>
      <c r="R47" s="14">
        <v>0</v>
      </c>
      <c r="S47" s="14">
        <v>1</v>
      </c>
      <c r="T47" s="14">
        <v>1</v>
      </c>
      <c r="U47" s="14">
        <v>1</v>
      </c>
      <c r="V47" s="14">
        <v>0</v>
      </c>
      <c r="W47" s="14">
        <v>1</v>
      </c>
      <c r="X47" s="14">
        <v>0</v>
      </c>
      <c r="Y47" s="14">
        <v>1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1</v>
      </c>
      <c r="AF47" s="14">
        <v>0</v>
      </c>
      <c r="AG47" s="14">
        <v>1</v>
      </c>
      <c r="AH47" s="14">
        <v>1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1</v>
      </c>
      <c r="AP47">
        <v>1</v>
      </c>
    </row>
    <row r="48" ht="16.5">
      <c r="A48" s="16">
        <v>44</v>
      </c>
      <c r="B48" t="s" s="16">
        <v>64</v>
      </c>
      <c r="C48" s="17">
        <v>46286</v>
      </c>
      <c r="D48" s="16">
        <v>6</v>
      </c>
      <c r="E48" t="s" s="16">
        <v>20</v>
      </c>
      <c r="F48" s="18">
        <v>0</v>
      </c>
      <c r="G48" t="s" s="16">
        <v>18</v>
      </c>
      <c r="H48" s="18">
        <f>VLOOKUP(G48,$AQ$5:$AR$7,2,FALSE)</f>
        <v>0</v>
      </c>
      <c r="I48" s="18">
        <f>IF(E48="Igen",H48+14990+F48,H48+F48)</f>
        <v>0</v>
      </c>
      <c r="J48" s="19">
        <f>IF(D48&gt;0,D48/30,0)</f>
        <v>0.2</v>
      </c>
      <c r="L48" s="14">
        <v>44</v>
      </c>
      <c r="M48" s="14">
        <v>0</v>
      </c>
      <c r="N48" s="14">
        <v>1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1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>
        <v>0</v>
      </c>
    </row>
    <row r="49" ht="16.5">
      <c r="A49" s="10">
        <v>45</v>
      </c>
      <c r="B49" t="s" s="10">
        <v>65</v>
      </c>
      <c r="C49" s="11">
        <v>46294</v>
      </c>
      <c r="D49" s="10">
        <v>22</v>
      </c>
      <c r="E49" t="s" s="10">
        <v>20</v>
      </c>
      <c r="F49" s="12">
        <v>0</v>
      </c>
      <c r="G49" t="s" s="10">
        <v>18</v>
      </c>
      <c r="H49" s="12">
        <f>VLOOKUP(G49,$AQ$5:$AR$7,2,FALSE)</f>
        <v>0</v>
      </c>
      <c r="I49" s="12">
        <f>IF(E49="Igen",H49+14990+F49,H49+F49)</f>
        <v>0</v>
      </c>
      <c r="J49" s="13">
        <f>IF(D49&gt;0,D49/30,0)</f>
        <v>0.7333333333333333</v>
      </c>
      <c r="L49" s="14">
        <v>45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1</v>
      </c>
      <c r="V49" s="14">
        <v>1</v>
      </c>
      <c r="W49" s="14">
        <v>1</v>
      </c>
      <c r="X49" s="14">
        <v>1</v>
      </c>
      <c r="Y49" s="14">
        <v>1</v>
      </c>
      <c r="Z49" s="14">
        <v>1</v>
      </c>
      <c r="AA49" s="14">
        <v>1</v>
      </c>
      <c r="AB49" s="14">
        <v>1</v>
      </c>
      <c r="AC49" s="14">
        <v>1</v>
      </c>
      <c r="AD49" s="14">
        <v>1</v>
      </c>
      <c r="AE49" s="14">
        <v>0</v>
      </c>
      <c r="AF49" s="14">
        <v>1</v>
      </c>
      <c r="AG49" s="14">
        <v>0</v>
      </c>
      <c r="AH49" s="14">
        <v>0</v>
      </c>
      <c r="AI49" s="14">
        <v>0</v>
      </c>
      <c r="AJ49" s="14">
        <v>1</v>
      </c>
      <c r="AK49" s="14">
        <v>1</v>
      </c>
      <c r="AL49" s="14">
        <v>0</v>
      </c>
      <c r="AM49" s="14">
        <v>0</v>
      </c>
      <c r="AN49" s="14">
        <v>0</v>
      </c>
      <c r="AO49" s="14">
        <v>1</v>
      </c>
      <c r="AP49">
        <v>0</v>
      </c>
    </row>
    <row r="50" ht="16.5">
      <c r="A50" s="16">
        <v>46</v>
      </c>
      <c r="B50" t="s" s="16">
        <v>66</v>
      </c>
      <c r="C50" s="17">
        <v>46307</v>
      </c>
      <c r="D50" s="16">
        <v>7</v>
      </c>
      <c r="E50" t="s" s="16">
        <v>20</v>
      </c>
      <c r="F50" s="18">
        <v>0</v>
      </c>
      <c r="G50" t="s" s="16">
        <v>18</v>
      </c>
      <c r="H50" s="18">
        <f>VLOOKUP(G50,$AQ$5:$AR$7,2,FALSE)</f>
        <v>0</v>
      </c>
      <c r="I50" s="18">
        <f>IF(E50="Igen",H50+14990+F50,H50+F50)</f>
        <v>0</v>
      </c>
      <c r="J50" s="19">
        <f>IF(D50&gt;0,D50/30,0)</f>
        <v>0.23333333333333334</v>
      </c>
      <c r="L50" s="14">
        <v>46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1</v>
      </c>
      <c r="AF50" s="14">
        <v>1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>
        <v>1</v>
      </c>
    </row>
    <row r="51" ht="16.5">
      <c r="A51" s="10">
        <v>47</v>
      </c>
      <c r="B51" t="s" s="10">
        <v>67</v>
      </c>
      <c r="C51" s="11">
        <v>46289</v>
      </c>
      <c r="D51" s="10">
        <v>30</v>
      </c>
      <c r="E51" t="s" s="10">
        <v>20</v>
      </c>
      <c r="F51" s="12">
        <v>0</v>
      </c>
      <c r="G51" t="s" s="10">
        <v>18</v>
      </c>
      <c r="H51" s="12">
        <f>VLOOKUP(G51,$AQ$5:$AR$7,2,FALSE)</f>
        <v>0</v>
      </c>
      <c r="I51" s="12">
        <f>IF(E51="Igen",H51+14990+F51,H51+F51)</f>
        <v>0</v>
      </c>
      <c r="J51" s="13">
        <f>IF(D51&gt;0,D51/30,0)</f>
        <v>1</v>
      </c>
      <c r="L51" s="14">
        <v>47</v>
      </c>
      <c r="M51" s="14">
        <v>1</v>
      </c>
      <c r="N51" s="14">
        <v>0</v>
      </c>
      <c r="O51" s="14">
        <v>1</v>
      </c>
      <c r="P51" s="14">
        <v>1</v>
      </c>
      <c r="Q51" s="14">
        <v>1</v>
      </c>
      <c r="R51" s="14">
        <v>1</v>
      </c>
      <c r="S51" s="14">
        <v>1</v>
      </c>
      <c r="T51" s="14">
        <v>0</v>
      </c>
      <c r="U51" s="14">
        <v>1</v>
      </c>
      <c r="V51" s="14">
        <v>0</v>
      </c>
      <c r="W51" s="14">
        <v>0</v>
      </c>
      <c r="X51" s="14">
        <v>1</v>
      </c>
      <c r="Y51" s="14">
        <v>1</v>
      </c>
      <c r="Z51" s="14">
        <v>1</v>
      </c>
      <c r="AA51" s="14">
        <v>1</v>
      </c>
      <c r="AB51" s="14">
        <v>0</v>
      </c>
      <c r="AC51" s="14">
        <v>1</v>
      </c>
      <c r="AD51" s="14">
        <v>1</v>
      </c>
      <c r="AE51" s="14">
        <v>1</v>
      </c>
      <c r="AF51" s="14">
        <v>0</v>
      </c>
      <c r="AG51" s="14">
        <v>1</v>
      </c>
      <c r="AH51" s="14">
        <v>1</v>
      </c>
      <c r="AI51" s="14">
        <v>0</v>
      </c>
      <c r="AJ51" s="14">
        <v>0</v>
      </c>
      <c r="AK51" s="14">
        <v>1</v>
      </c>
      <c r="AL51" s="14">
        <v>0</v>
      </c>
      <c r="AM51" s="14">
        <v>0</v>
      </c>
      <c r="AN51" s="14">
        <v>1</v>
      </c>
      <c r="AO51" s="14">
        <v>1</v>
      </c>
      <c r="AP51">
        <v>1</v>
      </c>
    </row>
    <row r="52" ht="16.5">
      <c r="A52" s="16">
        <v>48</v>
      </c>
      <c r="B52" t="s" s="16">
        <v>68</v>
      </c>
      <c r="C52" s="17">
        <v>46293</v>
      </c>
      <c r="D52" s="16">
        <v>17</v>
      </c>
      <c r="E52" t="s" s="16">
        <v>20</v>
      </c>
      <c r="F52" s="18">
        <v>0</v>
      </c>
      <c r="G52" t="s" s="16">
        <v>18</v>
      </c>
      <c r="H52" s="18">
        <f>VLOOKUP(G52,$AQ$5:$AR$7,2,FALSE)</f>
        <v>0</v>
      </c>
      <c r="I52" s="18">
        <f>IF(E52="Igen",H52+14990+F52,H52+F52)</f>
        <v>0</v>
      </c>
      <c r="J52" s="19">
        <f>IF(D52&gt;0,D52/30,0)</f>
        <v>0.5666666666666667</v>
      </c>
      <c r="L52" s="14">
        <v>48</v>
      </c>
      <c r="M52" s="14">
        <v>0</v>
      </c>
      <c r="N52" s="14">
        <v>0</v>
      </c>
      <c r="O52" s="14">
        <v>0</v>
      </c>
      <c r="P52" s="14">
        <v>0</v>
      </c>
      <c r="Q52" s="14">
        <v>1</v>
      </c>
      <c r="R52" s="14">
        <v>0</v>
      </c>
      <c r="S52" s="14">
        <v>0</v>
      </c>
      <c r="T52" s="14">
        <v>1</v>
      </c>
      <c r="U52" s="14">
        <v>1</v>
      </c>
      <c r="V52" s="14">
        <v>1</v>
      </c>
      <c r="W52" s="14">
        <v>0</v>
      </c>
      <c r="X52" s="14">
        <v>1</v>
      </c>
      <c r="Y52" s="14">
        <v>0</v>
      </c>
      <c r="Z52" s="14">
        <v>0</v>
      </c>
      <c r="AA52" s="14">
        <v>0</v>
      </c>
      <c r="AB52" s="14">
        <v>1</v>
      </c>
      <c r="AC52" s="14">
        <v>1</v>
      </c>
      <c r="AD52" s="14">
        <v>0</v>
      </c>
      <c r="AE52" s="14">
        <v>1</v>
      </c>
      <c r="AF52" s="14">
        <v>1</v>
      </c>
      <c r="AG52" s="14">
        <v>1</v>
      </c>
      <c r="AH52" s="14">
        <v>0</v>
      </c>
      <c r="AI52" s="14">
        <v>0</v>
      </c>
      <c r="AJ52" s="14">
        <v>0</v>
      </c>
      <c r="AK52" s="14">
        <v>1</v>
      </c>
      <c r="AL52" s="14">
        <v>0</v>
      </c>
      <c r="AM52" s="14">
        <v>0</v>
      </c>
      <c r="AN52" s="14">
        <v>0</v>
      </c>
      <c r="AO52" s="14">
        <v>1</v>
      </c>
      <c r="AP52">
        <v>0</v>
      </c>
    </row>
    <row r="53" ht="16.5">
      <c r="A53" s="10">
        <v>49</v>
      </c>
      <c r="B53" t="s" s="10">
        <v>69</v>
      </c>
      <c r="C53" s="11">
        <v>46284</v>
      </c>
      <c r="D53" s="10">
        <v>25</v>
      </c>
      <c r="E53" t="s" s="10">
        <v>20</v>
      </c>
      <c r="F53" s="12">
        <v>0</v>
      </c>
      <c r="G53" t="s" s="10">
        <v>18</v>
      </c>
      <c r="H53" s="12">
        <f>VLOOKUP(G53,$AQ$5:$AR$7,2,FALSE)</f>
        <v>0</v>
      </c>
      <c r="I53" s="12">
        <f>IF(E53="Igen",H53+14990+F53,H53+F53)</f>
        <v>0</v>
      </c>
      <c r="J53" s="13">
        <f>IF(D53&gt;0,D53/30,0)</f>
        <v>0.8333333333333334</v>
      </c>
      <c r="L53" s="14">
        <v>49</v>
      </c>
      <c r="M53" s="14">
        <v>1</v>
      </c>
      <c r="N53" s="14">
        <v>0</v>
      </c>
      <c r="O53" s="14">
        <v>1</v>
      </c>
      <c r="P53" s="14">
        <v>0</v>
      </c>
      <c r="Q53" s="14">
        <v>1</v>
      </c>
      <c r="R53" s="14">
        <v>0</v>
      </c>
      <c r="S53" s="14">
        <v>0</v>
      </c>
      <c r="T53" s="14">
        <v>1</v>
      </c>
      <c r="U53" s="14">
        <v>1</v>
      </c>
      <c r="V53" s="14">
        <v>1</v>
      </c>
      <c r="W53" s="14">
        <v>1</v>
      </c>
      <c r="X53" s="14">
        <v>0</v>
      </c>
      <c r="Y53" s="14">
        <v>0</v>
      </c>
      <c r="Z53" s="14">
        <v>0</v>
      </c>
      <c r="AA53" s="14">
        <v>1</v>
      </c>
      <c r="AB53" s="14">
        <v>1</v>
      </c>
      <c r="AC53" s="14">
        <v>0</v>
      </c>
      <c r="AD53" s="14">
        <v>0</v>
      </c>
      <c r="AE53" s="14">
        <v>1</v>
      </c>
      <c r="AF53" s="14">
        <v>1</v>
      </c>
      <c r="AG53" s="14">
        <v>0</v>
      </c>
      <c r="AH53" s="14">
        <v>0</v>
      </c>
      <c r="AI53" s="14">
        <v>1</v>
      </c>
      <c r="AJ53" s="14">
        <v>0</v>
      </c>
      <c r="AK53" s="14">
        <v>1</v>
      </c>
      <c r="AL53" s="14">
        <v>0</v>
      </c>
      <c r="AM53" s="14">
        <v>1</v>
      </c>
      <c r="AN53" s="14">
        <v>1</v>
      </c>
      <c r="AO53" s="14">
        <v>0</v>
      </c>
      <c r="AP53">
        <v>1</v>
      </c>
    </row>
    <row r="54" ht="16.5">
      <c r="A54" s="16">
        <v>50</v>
      </c>
      <c r="B54" t="s" s="16">
        <v>70</v>
      </c>
      <c r="C54" s="17">
        <v>46294</v>
      </c>
      <c r="D54" s="16">
        <v>29</v>
      </c>
      <c r="E54" t="s" s="16">
        <v>20</v>
      </c>
      <c r="F54" s="18">
        <v>0</v>
      </c>
      <c r="G54" t="s" s="16">
        <v>18</v>
      </c>
      <c r="H54" s="18">
        <f>VLOOKUP(G54,$AQ$5:$AR$7,2,FALSE)</f>
        <v>0</v>
      </c>
      <c r="I54" s="18">
        <f>IF(E54="Igen",H54+14990+F54,H54+F54)</f>
        <v>0</v>
      </c>
      <c r="J54" s="19">
        <f>IF(D54&gt;0,D54/30,0)</f>
        <v>0.9666666666666667</v>
      </c>
      <c r="L54" s="14">
        <v>50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1</v>
      </c>
      <c r="S54" s="14">
        <v>1</v>
      </c>
      <c r="T54" s="14">
        <v>1</v>
      </c>
      <c r="U54" s="14">
        <v>1</v>
      </c>
      <c r="V54" s="14">
        <v>1</v>
      </c>
      <c r="W54" s="14">
        <v>1</v>
      </c>
      <c r="X54" s="14">
        <v>0</v>
      </c>
      <c r="Y54" s="14">
        <v>1</v>
      </c>
      <c r="Z54" s="14">
        <v>1</v>
      </c>
      <c r="AA54" s="14">
        <v>1</v>
      </c>
      <c r="AB54" s="14">
        <v>0</v>
      </c>
      <c r="AC54" s="14">
        <v>1</v>
      </c>
      <c r="AD54" s="14">
        <v>0</v>
      </c>
      <c r="AE54" s="14">
        <v>0</v>
      </c>
      <c r="AF54" s="14">
        <v>1</v>
      </c>
      <c r="AG54" s="14">
        <v>1</v>
      </c>
      <c r="AH54" s="14">
        <v>0</v>
      </c>
      <c r="AI54" s="14">
        <v>1</v>
      </c>
      <c r="AJ54" s="14">
        <v>1</v>
      </c>
      <c r="AK54" s="14">
        <v>1</v>
      </c>
      <c r="AL54" s="14">
        <v>0</v>
      </c>
      <c r="AM54" s="14">
        <v>1</v>
      </c>
      <c r="AN54" s="14">
        <v>1</v>
      </c>
      <c r="AO54" s="14">
        <v>0</v>
      </c>
      <c r="AP54">
        <v>1</v>
      </c>
    </row>
    <row r="55" ht="15.75"/>
    <row r="56" ht="15.75"/>
    <row r="57" ht="16.5">
      <c r="A57" t="s" s="2">
        <v>71</v>
      </c>
      <c r="D57" t="s" s="20">
        <v>72</v>
      </c>
      <c r="L57" t="s" s="5">
        <v>73</v>
      </c>
      <c r="M57" t="s" s="5">
        <v>74</v>
      </c>
      <c r="O57" t="s" s="2">
        <v>75</v>
      </c>
    </row>
    <row r="58" ht="16.5">
      <c r="A58" t="s" s="21">
        <v>76</v>
      </c>
      <c r="B58" s="22">
        <f>SUM(I5:I54)</f>
        <v>191650</v>
      </c>
      <c r="D58" t="s" s="23">
        <v>18</v>
      </c>
      <c r="E58" s="24">
        <f>COUNTIF(G$5:G$54, "=Alap")</f>
        <v>44</v>
      </c>
      <c r="L58" s="25">
        <v>46289</v>
      </c>
      <c r="M58">
        <f>SUM(M5:M54)</f>
        <v>13</v>
      </c>
      <c r="O58" t="s" s="5">
        <v>77</v>
      </c>
      <c r="P58" t="s" s="5">
        <v>78</v>
      </c>
      <c r="R58" s="26"/>
    </row>
    <row r="59" ht="16.5">
      <c r="A59" t="s" s="27">
        <v>79</v>
      </c>
      <c r="B59" s="28">
        <f>AVERAGE(D5:D54)</f>
        <v>16.54</v>
      </c>
      <c r="D59" t="s" s="27">
        <v>21</v>
      </c>
      <c r="E59">
        <f>COUNTIF(G$5:G$54, "=Plusz")</f>
        <v>3</v>
      </c>
      <c r="L59" s="25">
        <v>46290</v>
      </c>
      <c r="M59">
        <f>SUM(N5:N54)</f>
        <v>13</v>
      </c>
      <c r="O59" t="s">
        <v>80</v>
      </c>
      <c r="P59" s="29">
        <f>SUM(H5:H54)</f>
        <v>6840</v>
      </c>
    </row>
    <row r="60" ht="16.5">
      <c r="A60" t="s" s="21">
        <v>81</v>
      </c>
      <c r="B60" s="30">
        <f>COUNTIF(G5:G54,"Plusz")+COUNTIF(G5:G54,"Pro")</f>
        <v>6</v>
      </c>
      <c r="D60" t="s" s="23">
        <v>23</v>
      </c>
      <c r="E60" s="24">
        <f>COUNTIF(G$5:G$54, "=Pro")</f>
        <v>3</v>
      </c>
      <c r="L60" s="25">
        <v>46291</v>
      </c>
      <c r="M60">
        <f>SUM(O5:O54)</f>
        <v>11</v>
      </c>
      <c r="O60" t="s">
        <v>82</v>
      </c>
      <c r="P60" s="15">
        <f>COUNTIF(E5:E54,"Igen")*14990</f>
        <v>179880</v>
      </c>
    </row>
    <row r="61">
      <c r="A61" t="s" s="27">
        <v>83</v>
      </c>
      <c r="B61">
        <f>COUNTIF(E5:E54,"Igen")</f>
        <v>12</v>
      </c>
      <c r="L61" s="25">
        <v>46292</v>
      </c>
      <c r="M61">
        <f>SUM(P5:P54)</f>
        <v>8</v>
      </c>
      <c r="O61" t="s">
        <v>84</v>
      </c>
      <c r="P61" s="15">
        <f>SUM(F5:F54)</f>
        <v>4930</v>
      </c>
    </row>
    <row r="62">
      <c r="A62" t="s" s="21">
        <v>85</v>
      </c>
      <c r="B62" s="22">
        <f>SUM(F5:F54)</f>
        <v>4930</v>
      </c>
      <c r="L62" s="25">
        <v>46293</v>
      </c>
      <c r="M62">
        <f>SUM(Q5:Q54)</f>
        <v>10</v>
      </c>
    </row>
    <row r="63">
      <c r="L63" s="25">
        <v>46294</v>
      </c>
      <c r="M63">
        <f>SUM(R5:R54)</f>
        <v>8</v>
      </c>
    </row>
    <row r="64">
      <c r="L64" s="25">
        <v>46295</v>
      </c>
      <c r="M64">
        <f>SUM(S5:S54)</f>
        <v>12</v>
      </c>
    </row>
    <row r="65" ht="16.5">
      <c r="L65" s="25">
        <v>46296</v>
      </c>
      <c r="M65">
        <f>SUM(T5:T54)</f>
        <v>14</v>
      </c>
    </row>
    <row r="66">
      <c r="L66" s="25">
        <v>46297</v>
      </c>
      <c r="M66">
        <f>SUM(U5:U54)</f>
        <v>20</v>
      </c>
    </row>
    <row r="67">
      <c r="L67" s="25">
        <v>46298</v>
      </c>
      <c r="M67">
        <f>SUM(V5:V54)</f>
        <v>13</v>
      </c>
    </row>
    <row r="68">
      <c r="L68" s="25">
        <v>46299</v>
      </c>
      <c r="M68">
        <f>SUM(W5:W54)</f>
        <v>19</v>
      </c>
    </row>
    <row r="69">
      <c r="L69" s="25">
        <v>46300</v>
      </c>
      <c r="M69">
        <f>SUM(X5:X54)</f>
        <v>15</v>
      </c>
    </row>
    <row r="70">
      <c r="L70" s="25">
        <v>46301</v>
      </c>
      <c r="M70">
        <f>SUM(Y5:Y54)</f>
        <v>15</v>
      </c>
    </row>
    <row r="71">
      <c r="L71" s="25">
        <v>46302</v>
      </c>
      <c r="M71">
        <f>SUM(Z5:Z54)</f>
        <v>20</v>
      </c>
    </row>
    <row r="72">
      <c r="L72" s="25">
        <v>46303</v>
      </c>
      <c r="M72">
        <f>SUM(AA5:AA54)</f>
        <v>18</v>
      </c>
    </row>
    <row r="73">
      <c r="L73" s="25">
        <v>46304</v>
      </c>
      <c r="M73">
        <f>SUM(AB5:AB54)</f>
        <v>18</v>
      </c>
    </row>
    <row r="74">
      <c r="L74" s="25">
        <v>46305</v>
      </c>
      <c r="M74">
        <f>SUM(AC5:AC54)</f>
        <v>15</v>
      </c>
    </row>
    <row r="75">
      <c r="L75" s="25">
        <v>46306</v>
      </c>
      <c r="M75">
        <f>SUM(AD5:AD54)</f>
        <v>15</v>
      </c>
    </row>
    <row r="76">
      <c r="L76" s="25">
        <v>46307</v>
      </c>
      <c r="M76">
        <f>SUM(AE5:AE54)</f>
        <v>20</v>
      </c>
    </row>
    <row r="77">
      <c r="L77" s="25">
        <v>46308</v>
      </c>
      <c r="M77">
        <f>SUM(AF5:AF54)</f>
        <v>14</v>
      </c>
    </row>
    <row r="78">
      <c r="L78" s="25">
        <v>46309</v>
      </c>
      <c r="M78">
        <f>SUM(AG5:AG54)</f>
        <v>18</v>
      </c>
    </row>
    <row r="79">
      <c r="L79" s="25">
        <v>46310</v>
      </c>
      <c r="M79">
        <f>SUM(AH5:AH54)</f>
        <v>19</v>
      </c>
    </row>
    <row r="80">
      <c r="L80" s="25">
        <v>46311</v>
      </c>
      <c r="M80">
        <f>SUM(AI5:AI54)</f>
        <v>18</v>
      </c>
    </row>
    <row r="81">
      <c r="L81" s="25">
        <v>46312</v>
      </c>
      <c r="M81">
        <f>SUM(AJ5:AJ54)</f>
        <v>11</v>
      </c>
    </row>
    <row r="82">
      <c r="L82" s="25">
        <v>46313</v>
      </c>
      <c r="M82">
        <f>SUM(AK5:AK54)</f>
        <v>18</v>
      </c>
    </row>
    <row r="83">
      <c r="L83" s="25">
        <v>46314</v>
      </c>
      <c r="M83">
        <f>SUM(AL5:AL54)</f>
        <v>19</v>
      </c>
    </row>
    <row r="84">
      <c r="L84" s="25">
        <v>46315</v>
      </c>
      <c r="M84">
        <f>SUM(AM5:AM54)</f>
        <v>21</v>
      </c>
    </row>
    <row r="85">
      <c r="L85" s="25">
        <v>46316</v>
      </c>
      <c r="M85">
        <f>SUM(AN5:AN54)</f>
        <v>25</v>
      </c>
    </row>
    <row r="86">
      <c r="L86" s="25">
        <v>46317</v>
      </c>
      <c r="M86">
        <f>SUM(AO5:AO54)</f>
        <v>20</v>
      </c>
    </row>
    <row r="87">
      <c r="L87" s="25">
        <v>46318</v>
      </c>
      <c r="M87">
        <f>SUM(AP5:AP54)</f>
        <v>17</v>
      </c>
    </row>
  </sheetData>
  <autoFilter ref="A4:J54"/>
  <mergeCells count="8">
    <mergeCell ref="A1:J1"/>
    <mergeCell ref="L1:AO1"/>
    <mergeCell ref="A2:J2"/>
    <mergeCell ref="L2:AO2"/>
    <mergeCell ref="A3:J3"/>
    <mergeCell ref="AQ3:AR3"/>
    <mergeCell ref="A57:B57"/>
    <mergeCell ref="D57:E57"/>
  </mergeCells>
  <pageMargins left="0.75" right="0.75" top="1" bottom="1" header="0.5" footer="0.5"/>
  <pageSetup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Felhasználói adatok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2026-10-23T10:11:36.456Z</dcterms:created>
  <dcterms:modified xsi:type="dcterms:W3CDTF">2026-10-23T10:11:36.456Z</dcterms:modified>
</cp:coreProperties>
</file>